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本多木工所" sheetId="2" state="visible" r:id="rId2"/>
    <sheet xmlns:r="http://schemas.openxmlformats.org/officeDocument/2006/relationships" name="西北プライウッド" sheetId="3" state="visible" r:id="rId3"/>
    <sheet xmlns:r="http://schemas.openxmlformats.org/officeDocument/2006/relationships" name="川井林業" sheetId="4" state="visible" r:id="rId4"/>
    <sheet xmlns:r="http://schemas.openxmlformats.org/officeDocument/2006/relationships" name="新栄合板" sheetId="5" state="visible" r:id="rId5"/>
    <sheet xmlns:r="http://schemas.openxmlformats.org/officeDocument/2006/relationships" name="釧路 製材棟" sheetId="6" state="visible" r:id="rId6"/>
    <sheet xmlns:r="http://schemas.openxmlformats.org/officeDocument/2006/relationships" name="釧路 加工棟" sheetId="7" state="visible" r:id="rId7"/>
    <sheet xmlns:r="http://schemas.openxmlformats.org/officeDocument/2006/relationships" name="ダクトの差分" sheetId="8" state="visible" r:id="rId8"/>
    <sheet xmlns:r="http://schemas.openxmlformats.org/officeDocument/2006/relationships" name="作図運用のご提案"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1F3864"/>
      <sz val="16"/>
    </font>
    <font>
      <name val="Meiryo"/>
      <color rgb="00000000"/>
      <sz val="10"/>
    </font>
    <font>
      <name val="Meiryo"/>
      <b val="1"/>
      <color rgb="001F3864"/>
      <sz val="11"/>
    </font>
    <font>
      <name val="Meiryo"/>
      <color rgb="00000000"/>
      <sz val="9"/>
    </font>
    <font>
      <name val="Meiryo"/>
      <b val="1"/>
      <color rgb="00FFFFFF"/>
      <sz val="10"/>
    </font>
    <font>
      <name val="Meiryo"/>
      <b val="1"/>
      <color rgb="00000000"/>
      <sz val="10"/>
    </font>
    <font>
      <name val="Meiryo"/>
      <b val="1"/>
      <color rgb="001F3864"/>
      <sz val="14"/>
    </font>
    <font>
      <name val="Meiryo"/>
      <b val="1"/>
      <color rgb="002E5C8A"/>
      <sz val="10"/>
    </font>
  </fonts>
  <fills count="8">
    <fill>
      <patternFill/>
    </fill>
    <fill>
      <patternFill patternType="gray125"/>
    </fill>
    <fill>
      <patternFill patternType="solid">
        <fgColor rgb="002E5C8A"/>
      </patternFill>
    </fill>
    <fill>
      <patternFill patternType="solid">
        <fgColor rgb="00F2F2F2"/>
      </patternFill>
    </fill>
    <fill>
      <patternFill patternType="solid">
        <fgColor rgb="00FFC7CE"/>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xf>
    <xf numFmtId="9" fontId="2" fillId="0" borderId="1" applyAlignment="1" pivotButton="0" quotePrefix="0" xfId="0">
      <alignment horizontal="center"/>
    </xf>
    <xf numFmtId="0" fontId="2" fillId="0" borderId="1" applyAlignment="1" pivotButton="0" quotePrefix="0" xfId="0">
      <alignment horizontal="left" vertical="top" wrapText="1"/>
    </xf>
    <xf numFmtId="0" fontId="6" fillId="3" borderId="1" applyAlignment="1" pivotButton="0" quotePrefix="0" xfId="0">
      <alignment horizontal="center" vertical="top"/>
    </xf>
    <xf numFmtId="0" fontId="2" fillId="3" borderId="1" applyAlignment="1" pivotButton="0" quotePrefix="0" xfId="0">
      <alignment horizontal="left" vertical="top"/>
    </xf>
    <xf numFmtId="0" fontId="6" fillId="3" borderId="1" applyAlignment="1" pivotButton="0" quotePrefix="0" xfId="0">
      <alignment horizontal="center"/>
    </xf>
    <xf numFmtId="9" fontId="6" fillId="3" borderId="1" applyAlignment="1" pivotButton="0" quotePrefix="0" xfId="0">
      <alignment horizontal="center"/>
    </xf>
    <xf numFmtId="0" fontId="2" fillId="0" borderId="1" applyAlignment="1" pivotButton="0" quotePrefix="0" xfId="0">
      <alignment horizontal="center" vertical="top"/>
    </xf>
    <xf numFmtId="0" fontId="2" fillId="0" borderId="1" applyAlignment="1" pivotButton="0" quotePrefix="0" xfId="0">
      <alignment horizontal="center"/>
    </xf>
    <xf numFmtId="0" fontId="2" fillId="4" borderId="1" applyAlignment="1" pivotButton="0" quotePrefix="0" xfId="0">
      <alignment horizontal="center"/>
    </xf>
    <xf numFmtId="0" fontId="2" fillId="5" borderId="1" pivotButton="0" quotePrefix="0" xfId="0"/>
    <xf numFmtId="0" fontId="2" fillId="6" borderId="1" pivotButton="0" quotePrefix="0" xfId="0"/>
    <xf numFmtId="0" fontId="2" fillId="7" borderId="1" pivotButton="0" quotePrefix="0" xfId="0"/>
    <xf numFmtId="0" fontId="2" fillId="3" borderId="1" pivotButton="0" quotePrefix="0" xfId="0"/>
    <xf numFmtId="0" fontId="7" fillId="0" borderId="0" pivotButton="0" quotePrefix="0" xfId="0"/>
    <xf numFmtId="0" fontId="2" fillId="0" borderId="1" applyAlignment="1" pivotButton="0" quotePrefix="0" xfId="0">
      <alignment horizontal="left" vertical="top"/>
    </xf>
    <xf numFmtId="0" fontId="2" fillId="6" borderId="1" applyAlignment="1" pivotButton="0" quotePrefix="0" xfId="0">
      <alignment horizontal="left" vertical="top" wrapText="1"/>
    </xf>
    <xf numFmtId="0" fontId="2" fillId="5" borderId="1" applyAlignment="1" pivotButton="0" quotePrefix="0" xfId="0">
      <alignment horizontal="left" vertical="top" wrapText="1"/>
    </xf>
    <xf numFmtId="0" fontId="2" fillId="3" borderId="1" applyAlignment="1" pivotButton="0" quotePrefix="0" xfId="0">
      <alignment horizontal="left" vertical="top" wrapText="1"/>
    </xf>
    <xf numFmtId="0" fontId="8" fillId="0" borderId="0" pivotButton="0" quotePrefix="0" xfId="0"/>
    <xf numFmtId="0" fontId="2" fillId="7"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right" vertical="top"/>
    </xf>
    <xf numFmtId="0" fontId="2" fillId="4" borderId="1" applyAlignment="1" pivotButton="0" quotePrefix="0" xfId="0">
      <alignment horizontal="right" vertical="top"/>
    </xf>
    <xf numFmtId="0" fontId="2" fillId="5" borderId="1" applyAlignment="1" pivotButton="0" quotePrefix="0" xfId="0">
      <alignment horizontal="right" vertical="top"/>
    </xf>
    <xf numFmtId="0" fontId="2" fillId="7" borderId="1" applyAlignment="1" pivotButton="0" quotePrefix="0" xfId="0">
      <alignment horizontal="right" vertical="top"/>
    </xf>
    <xf numFmtId="0" fontId="2" fillId="6" borderId="1" applyAlignment="1" pivotButton="0" quotePrefix="0" xfId="0">
      <alignment horizontal="center" vertical="top"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showGridLines="0" workbookViewId="0">
      <pane ySplit="1" topLeftCell="A2"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2" customWidth="1" min="8" max="8"/>
    <col width="46" customWidth="1" min="9" max="9"/>
  </cols>
  <sheetData>
    <row r="1">
      <c r="A1" s="1" t="inlineStr">
        <is>
          <t>CAD図面と御見積の差異 対比レポート</t>
        </is>
      </c>
    </row>
    <row r="2">
      <c r="A2" s="2" t="inlineStr">
        <is>
          <t>2026年8月31日　／　井上電設株式会社 御中</t>
        </is>
      </c>
    </row>
    <row r="3">
      <c r="A3" s="2" t="inlineStr">
        <is>
          <t>対象: 実案件5件・6図面／6見積　（本レポートに金額情報は含まれません）</t>
        </is>
      </c>
    </row>
    <row r="5">
      <c r="A5" s="3" t="inlineStr">
        <is>
          <t>■ 1. 結論</t>
        </is>
      </c>
    </row>
    <row r="6">
      <c r="A6" s="2" t="inlineStr">
        <is>
          <t>・御見積の大項目のうち「機器系」（図面に描かれるもの）は、30項目中25項目（83%）を図面から自動で拾えています。</t>
        </is>
      </c>
    </row>
    <row r="7">
      <c r="A7" s="2" t="inlineStr">
        <is>
          <t>・今回の改修により、従来まったく認識できず欠落していた「破砕機(WL系列)」「火の粉遮断弁(ES系列)」に対応しました。</t>
        </is>
      </c>
    </row>
    <row r="8">
      <c r="A8" s="2" t="inlineStr">
        <is>
          <t>・残る未カバーは5項目で、内訳は「制御盤の記載がない」2件、「系統(ライン・区間)を区別できない」2件、「図面にない付帯品」1件です。</t>
        </is>
      </c>
    </row>
    <row r="9">
      <c r="A9" s="2" t="inlineStr">
        <is>
          <t>・「工事系」40項目（取付工費・運送交通費・諸経費など）は図面に存在しない情報のため、自動化の対象外です。</t>
        </is>
      </c>
    </row>
    <row r="11">
      <c r="A11" s="3" t="inlineStr">
        <is>
          <t>■ 2. 案件別サマリ</t>
        </is>
      </c>
    </row>
    <row r="12">
      <c r="A12" s="4" t="inlineStr">
        <is>
          <t>※「図面から拾えた機器系項目」＝御見積の大項目に対応する機器・情報を図面から取得でき、独立した項目として起こせるもの。他の項目に統合されて区別できないものは含めません。</t>
        </is>
      </c>
    </row>
    <row r="13" ht="30" customHeight="1">
      <c r="A13" s="5" t="inlineStr">
        <is>
          <t>案件</t>
        </is>
      </c>
      <c r="B13" s="5" t="inlineStr">
        <is>
          <t>図面</t>
        </is>
      </c>
      <c r="C13" s="5" t="inlineStr">
        <is>
          <t>御見積No</t>
        </is>
      </c>
      <c r="D13" s="5" t="inlineStr">
        <is>
          <t>御見積の大項目</t>
        </is>
      </c>
      <c r="E13" s="5" t="inlineStr">
        <is>
          <t>うち機器系
(図面に描かれる)</t>
        </is>
      </c>
      <c r="F13" s="5" t="inlineStr">
        <is>
          <t>うち工事系
(図面外)</t>
        </is>
      </c>
      <c r="G13" s="5" t="inlineStr">
        <is>
          <t>図面から拾えた
機器系項目</t>
        </is>
      </c>
      <c r="H13" s="5" t="inlineStr">
        <is>
          <t>機器系の網羅率</t>
        </is>
      </c>
      <c r="I13" s="5" t="inlineStr">
        <is>
          <t>主な差分要因</t>
        </is>
      </c>
    </row>
    <row r="14">
      <c r="A14" s="6" t="inlineStr">
        <is>
          <t>(株)本多木工所</t>
        </is>
      </c>
      <c r="B14" s="7" t="inlineStr">
        <is>
          <t>250014A-100</t>
        </is>
      </c>
      <c r="C14" s="7" t="inlineStr">
        <is>
          <t>2024-04-35 A1</t>
        </is>
      </c>
      <c r="D14" s="7" t="n">
        <v>13</v>
      </c>
      <c r="E14" s="7" t="n">
        <v>6</v>
      </c>
      <c r="F14" s="7" t="n">
        <v>7</v>
      </c>
      <c r="G14" s="7" t="n">
        <v>6</v>
      </c>
      <c r="H14" s="8">
        <f>IF(E14=0,0,G14/E14)</f>
        <v/>
      </c>
      <c r="I14" s="9" t="inlineStr">
        <is>
          <t>区間の区別ができない／ダクトは概算</t>
        </is>
      </c>
    </row>
    <row r="15">
      <c r="A15" s="6" t="inlineStr">
        <is>
          <t>西北プライウッド(株)</t>
        </is>
      </c>
      <c r="B15" s="7" t="inlineStr">
        <is>
          <t>250365A-100</t>
        </is>
      </c>
      <c r="C15" s="7" t="inlineStr">
        <is>
          <t>2025-05-45 A1</t>
        </is>
      </c>
      <c r="D15" s="7" t="n">
        <v>10</v>
      </c>
      <c r="E15" s="7" t="n">
        <v>3</v>
      </c>
      <c r="F15" s="7" t="n">
        <v>7</v>
      </c>
      <c r="G15" s="7" t="n">
        <v>3</v>
      </c>
      <c r="H15" s="8">
        <f>IF(E15=0,0,G15/E15)</f>
        <v/>
      </c>
      <c r="I15" s="9" t="inlineStr">
        <is>
          <t>モータ容量・処理風量の記載がない</t>
        </is>
      </c>
    </row>
    <row r="16">
      <c r="A16" s="6" t="inlineStr">
        <is>
          <t>(株)川井林業 雫石工場</t>
        </is>
      </c>
      <c r="B16" s="7" t="inlineStr">
        <is>
          <t>250786A-100</t>
        </is>
      </c>
      <c r="C16" s="7" t="inlineStr">
        <is>
          <t>2022-01-101 B</t>
        </is>
      </c>
      <c r="D16" s="7" t="n">
        <v>14</v>
      </c>
      <c r="E16" s="7" t="n">
        <v>7</v>
      </c>
      <c r="F16" s="7" t="n">
        <v>7</v>
      </c>
      <c r="G16" s="7" t="n">
        <v>6</v>
      </c>
      <c r="H16" s="8">
        <f>IF(E16=0,0,G16/E16)</f>
        <v/>
      </c>
      <c r="I16" s="9" t="inlineStr">
        <is>
          <t>空気輸送装置が2項目あるが系統を区別できず統合される</t>
        </is>
      </c>
    </row>
    <row r="17">
      <c r="A17" s="6" t="inlineStr">
        <is>
          <t>新栄合板工業(株)</t>
        </is>
      </c>
      <c r="B17" s="7" t="inlineStr">
        <is>
          <t>260024A-100</t>
        </is>
      </c>
      <c r="C17" s="7" t="inlineStr">
        <is>
          <t>2026-02-78A</t>
        </is>
      </c>
      <c r="D17" s="7" t="n">
        <v>7</v>
      </c>
      <c r="E17" s="7" t="n">
        <v>4</v>
      </c>
      <c r="F17" s="7" t="n">
        <v>3</v>
      </c>
      <c r="G17" s="7" t="n">
        <v>3</v>
      </c>
      <c r="H17" s="8">
        <f>IF(E17=0,0,G17/E17)</f>
        <v/>
      </c>
      <c r="I17" s="9" t="inlineStr">
        <is>
          <t>フレキシブルホースが図面にない</t>
        </is>
      </c>
    </row>
    <row r="18">
      <c r="A18" s="6" t="inlineStr">
        <is>
          <t>(株)釧路ウッドプロダクツ 製材棟</t>
        </is>
      </c>
      <c r="B18" s="7" t="inlineStr">
        <is>
          <t>280001A</t>
        </is>
      </c>
      <c r="C18" s="7" t="inlineStr">
        <is>
          <t>2026-07-13 A</t>
        </is>
      </c>
      <c r="D18" s="7" t="n">
        <v>12</v>
      </c>
      <c r="E18" s="7" t="n">
        <v>4</v>
      </c>
      <c r="F18" s="7" t="n">
        <v>8</v>
      </c>
      <c r="G18" s="7" t="n">
        <v>2</v>
      </c>
      <c r="H18" s="8">
        <f>IF(E18=0,0,G18/E18)</f>
        <v/>
      </c>
      <c r="I18" s="9" t="inlineStr">
        <is>
          <t>制御盤の記載がない／ライン①②を区別できない</t>
        </is>
      </c>
    </row>
    <row r="19">
      <c r="A19" s="6" t="inlineStr">
        <is>
          <t>(株)釧路ウッドプロダクツ 加工棟</t>
        </is>
      </c>
      <c r="B19" s="7" t="inlineStr">
        <is>
          <t>280001B</t>
        </is>
      </c>
      <c r="C19" s="7" t="inlineStr">
        <is>
          <t>2026-07-13 B</t>
        </is>
      </c>
      <c r="D19" s="7" t="n">
        <v>14</v>
      </c>
      <c r="E19" s="7" t="n">
        <v>6</v>
      </c>
      <c r="F19" s="7" t="n">
        <v>8</v>
      </c>
      <c r="G19" s="7" t="n">
        <v>5</v>
      </c>
      <c r="H19" s="8">
        <f>IF(E19=0,0,G19/E19)</f>
        <v/>
      </c>
      <c r="I19" s="9" t="inlineStr">
        <is>
          <t>制御盤の記載がない（破砕機・火の粉遮断弁は改修で解決）</t>
        </is>
      </c>
    </row>
    <row r="20">
      <c r="A20" s="10" t="inlineStr">
        <is>
          <t>合計</t>
        </is>
      </c>
      <c r="B20" s="11" t="inlineStr"/>
      <c r="C20" s="11" t="inlineStr"/>
      <c r="D20" s="12">
        <f>SUM(D14:D19)</f>
        <v/>
      </c>
      <c r="E20" s="12">
        <f>SUM(E14:E19)</f>
        <v/>
      </c>
      <c r="F20" s="12">
        <f>SUM(F14:F19)</f>
        <v/>
      </c>
      <c r="G20" s="12">
        <f>SUM(G14:G19)</f>
        <v/>
      </c>
      <c r="H20" s="13">
        <f>IF(E20=0,0,G20/E20)</f>
        <v/>
      </c>
      <c r="I20" s="11" t="inlineStr"/>
    </row>
    <row r="22">
      <c r="A22" s="3" t="inlineStr">
        <is>
          <t>■ 3. 差分の原因は3種類に分けられます</t>
        </is>
      </c>
    </row>
    <row r="23" ht="30" customHeight="1">
      <c r="A23" s="5" t="inlineStr">
        <is>
          <t>原因</t>
        </is>
      </c>
      <c r="B23" s="5" t="inlineStr">
        <is>
          <t>該当する項目</t>
        </is>
      </c>
      <c r="C23" s="5" t="inlineStr">
        <is>
          <t>対応する主体</t>
        </is>
      </c>
    </row>
    <row r="24" ht="42" customHeight="1">
      <c r="A24" s="6" t="inlineStr">
        <is>
          <t>① システムが認識できていなかった
（図面には描かれている）</t>
        </is>
      </c>
      <c r="B24" s="9" t="inlineStr">
        <is>
          <t>破砕機 WL13／火の粉遮断弁 ES系列／ACD450</t>
        </is>
      </c>
      <c r="C24" s="9" t="inlineStr">
        <is>
          <t>当方（改修）★今回対応済み</t>
        </is>
      </c>
    </row>
    <row r="25" ht="42" customHeight="1">
      <c r="A25" s="6" t="inlineStr">
        <is>
          <t>② 図面に情報がない</t>
        </is>
      </c>
      <c r="B25" s="9" t="inlineStr">
        <is>
          <t>制御盤（釧路A・B）／モータ容量（西北・釧路A・B）／処理風量（西北）／既設の明示（5図面）／ダクトの系統・実長</t>
        </is>
      </c>
      <c r="C25" s="9" t="inlineStr">
        <is>
          <t>貴社（作図）</t>
        </is>
      </c>
    </row>
    <row r="26" ht="42" customHeight="1">
      <c r="A26" s="6" t="inlineStr">
        <is>
          <t>③ 図面外の情報</t>
        </is>
      </c>
      <c r="B26" s="9" t="inlineStr">
        <is>
          <t>取付工費／電気工事2次側／運送交通費／塗装工事費／工事消耗品／試運転調整費／諸経費／エアー配管工事</t>
        </is>
      </c>
      <c r="C26" s="9" t="inlineStr">
        <is>
          <t>双方（係数化の検討）</t>
        </is>
      </c>
    </row>
    <row r="28">
      <c r="A28" s="3" t="inlineStr">
        <is>
          <t>■ 4. 図面ごとの記載状況</t>
        </is>
      </c>
    </row>
    <row r="29" ht="30" customHeight="1">
      <c r="A29" s="5" t="inlineStr">
        <is>
          <t>記載項目</t>
        </is>
      </c>
      <c r="B29" s="5" t="inlineStr">
        <is>
          <t>本多</t>
        </is>
      </c>
      <c r="C29" s="5" t="inlineStr">
        <is>
          <t>西北</t>
        </is>
      </c>
      <c r="D29" s="5" t="inlineStr">
        <is>
          <t>川井</t>
        </is>
      </c>
      <c r="E29" s="5" t="inlineStr">
        <is>
          <t>新栄</t>
        </is>
      </c>
      <c r="F29" s="5" t="inlineStr">
        <is>
          <t>釧路A</t>
        </is>
      </c>
      <c r="G29" s="5" t="inlineStr">
        <is>
          <t>釧路B</t>
        </is>
      </c>
    </row>
    <row r="30">
      <c r="A30" s="14" t="inlineStr">
        <is>
          <t>機器型式</t>
        </is>
      </c>
      <c r="B30" s="15" t="inlineStr">
        <is>
          <t>あり</t>
        </is>
      </c>
      <c r="C30" s="15" t="inlineStr">
        <is>
          <t>あり</t>
        </is>
      </c>
      <c r="D30" s="15" t="inlineStr">
        <is>
          <t>あり</t>
        </is>
      </c>
      <c r="E30" s="15" t="inlineStr">
        <is>
          <t>あり</t>
        </is>
      </c>
      <c r="F30" s="15" t="inlineStr">
        <is>
          <t>あり</t>
        </is>
      </c>
      <c r="G30" s="15" t="inlineStr">
        <is>
          <t>あり</t>
        </is>
      </c>
    </row>
    <row r="31">
      <c r="A31" s="14" t="inlineStr">
        <is>
          <t>処理風量</t>
        </is>
      </c>
      <c r="B31" s="15" t="inlineStr">
        <is>
          <t>あり</t>
        </is>
      </c>
      <c r="C31" s="16" t="inlineStr">
        <is>
          <t>★なし</t>
        </is>
      </c>
      <c r="D31" s="15" t="inlineStr">
        <is>
          <t>あり</t>
        </is>
      </c>
      <c r="E31" s="15" t="inlineStr">
        <is>
          <t>あり</t>
        </is>
      </c>
      <c r="F31" s="15" t="inlineStr">
        <is>
          <t>あり</t>
        </is>
      </c>
      <c r="G31" s="15" t="inlineStr">
        <is>
          <t>あり</t>
        </is>
      </c>
    </row>
    <row r="32">
      <c r="A32" s="14" t="inlineStr">
        <is>
          <t>モータ容量(kW)</t>
        </is>
      </c>
      <c r="B32" s="15" t="inlineStr">
        <is>
          <t>あり</t>
        </is>
      </c>
      <c r="C32" s="16" t="inlineStr">
        <is>
          <t>★なし</t>
        </is>
      </c>
      <c r="D32" s="15" t="inlineStr">
        <is>
          <t>あり</t>
        </is>
      </c>
      <c r="E32" s="15" t="inlineStr">
        <is>
          <t>あり</t>
        </is>
      </c>
      <c r="F32" s="16" t="inlineStr">
        <is>
          <t>★なし</t>
        </is>
      </c>
      <c r="G32" s="16" t="inlineStr">
        <is>
          <t>★なし</t>
        </is>
      </c>
    </row>
    <row r="33">
      <c r="A33" s="14" t="inlineStr">
        <is>
          <t>制御盤</t>
        </is>
      </c>
      <c r="B33" s="15" t="inlineStr">
        <is>
          <t>6件</t>
        </is>
      </c>
      <c r="C33" s="15" t="inlineStr">
        <is>
          <t>1件のみ</t>
        </is>
      </c>
      <c r="D33" s="15" t="inlineStr">
        <is>
          <t>4件</t>
        </is>
      </c>
      <c r="E33" s="15" t="inlineStr">
        <is>
          <t>1件</t>
        </is>
      </c>
      <c r="F33" s="16" t="inlineStr">
        <is>
          <t>★なし</t>
        </is>
      </c>
      <c r="G33" s="16" t="inlineStr">
        <is>
          <t>★なし</t>
        </is>
      </c>
    </row>
    <row r="34">
      <c r="A34" s="14" t="inlineStr">
        <is>
          <t>既設の明示</t>
        </is>
      </c>
      <c r="B34" s="15" t="inlineStr">
        <is>
          <t>なし</t>
        </is>
      </c>
      <c r="C34" s="15" t="inlineStr">
        <is>
          <t>なし</t>
        </is>
      </c>
      <c r="D34" s="15" t="inlineStr">
        <is>
          <t>あり</t>
        </is>
      </c>
      <c r="E34" s="15" t="inlineStr">
        <is>
          <t>なし</t>
        </is>
      </c>
      <c r="F34" s="15" t="inlineStr">
        <is>
          <t>なし</t>
        </is>
      </c>
      <c r="G34" s="15" t="inlineStr">
        <is>
          <t>なし</t>
        </is>
      </c>
    </row>
    <row r="35">
      <c r="A35" s="14" t="inlineStr">
        <is>
          <t>ダクト径の種類</t>
        </is>
      </c>
      <c r="B35" s="15" t="inlineStr">
        <is>
          <t>7種</t>
        </is>
      </c>
      <c r="C35" s="15" t="inlineStr">
        <is>
          <t>7種</t>
        </is>
      </c>
      <c r="D35" s="15" t="inlineStr">
        <is>
          <t>14種</t>
        </is>
      </c>
      <c r="E35" s="15" t="inlineStr">
        <is>
          <t>2種</t>
        </is>
      </c>
      <c r="F35" s="15" t="inlineStr">
        <is>
          <t>7種</t>
        </is>
      </c>
      <c r="G35" s="15" t="inlineStr">
        <is>
          <t>10種</t>
        </is>
      </c>
    </row>
    <row r="36">
      <c r="A36" s="14" t="inlineStr">
        <is>
          <t>ダクト専用レイヤー</t>
        </is>
      </c>
      <c r="B36" s="15" t="inlineStr">
        <is>
          <t>なし</t>
        </is>
      </c>
      <c r="C36" s="15" t="inlineStr">
        <is>
          <t>なし</t>
        </is>
      </c>
      <c r="D36" s="15" t="inlineStr">
        <is>
          <t>なし</t>
        </is>
      </c>
      <c r="E36" s="15" t="inlineStr">
        <is>
          <t>なし</t>
        </is>
      </c>
      <c r="F36" s="15" t="inlineStr">
        <is>
          <t>なし</t>
        </is>
      </c>
      <c r="G36" s="15" t="inlineStr">
        <is>
          <t>なし</t>
        </is>
      </c>
    </row>
    <row r="38">
      <c r="A38" s="3" t="inlineStr">
        <is>
          <t>■ 5. 凡例（各案件シートの「判定」欄）</t>
        </is>
      </c>
    </row>
    <row r="39">
      <c r="A39" s="17" t="inlineStr">
        <is>
          <t>✅ 一致</t>
        </is>
      </c>
      <c r="B39" s="2" t="inlineStr">
        <is>
          <t>図面から読み取れ、御見積の項目と対応している</t>
        </is>
      </c>
    </row>
    <row r="40">
      <c r="A40" s="17" t="inlineStr">
        <is>
          <t>✅ 一致（今回の改修で対応）</t>
        </is>
      </c>
      <c r="B40" s="2" t="inlineStr">
        <is>
          <t>今回の改修で新たに読み取れるようになった項目</t>
        </is>
      </c>
    </row>
    <row r="41">
      <c r="A41" s="18" t="inlineStr">
        <is>
          <t>🔶 分類・粒度が異なる</t>
        </is>
      </c>
      <c r="B41" s="2" t="inlineStr">
        <is>
          <t>読み取れているが、御見積とは分類・粒度が異なる</t>
        </is>
      </c>
    </row>
    <row r="42">
      <c r="A42" s="19" t="inlineStr">
        <is>
          <t>⬜ 図面に情報がない</t>
        </is>
      </c>
      <c r="B42" s="2" t="inlineStr">
        <is>
          <t>図面に情報がなく読み取れない（作図で解決できる）</t>
        </is>
      </c>
    </row>
    <row r="43">
      <c r="A43" s="20" t="inlineStr">
        <is>
          <t>❌ 図面外の情報</t>
        </is>
      </c>
      <c r="B43" s="2" t="inlineStr">
        <is>
          <t>図面外の情報のため読み取れない（作図では解決できない）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(株)本多木工所</t>
        </is>
      </c>
    </row>
    <row r="2">
      <c r="A2" s="2" t="inlineStr">
        <is>
          <t>図面: 250014A-100　／　御見積No: 2024-04-35 A1</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BFR3X5、SCD5、CY600、PL200、PLD2.2、RV25X60、RV20X35、SD-2E</t>
        </is>
      </c>
    </row>
    <row r="7">
      <c r="A7" s="22" t="inlineStr">
        <is>
          <t>モータ容量</t>
        </is>
      </c>
      <c r="B7" s="9" t="inlineStr">
        <is>
          <t>0.2 / 0.4 / 2.2 / 3.7 / 3.8 / 15.0 / 34.3 kW</t>
        </is>
      </c>
    </row>
    <row r="8">
      <c r="A8" s="22" t="inlineStr">
        <is>
          <t>処理風量</t>
        </is>
      </c>
      <c r="B8" s="9" t="inlineStr">
        <is>
          <t>410 m3/min</t>
        </is>
      </c>
    </row>
    <row r="9">
      <c r="A9" s="22" t="inlineStr">
        <is>
          <t>制御盤</t>
        </is>
      </c>
      <c r="B9" s="9" t="inlineStr">
        <is>
          <t>記載あり（6件）。【34.3kw】【3.8kw】の容量表記も取得</t>
        </is>
      </c>
    </row>
    <row r="10">
      <c r="A10" s="22" t="inlineStr">
        <is>
          <t>ダクト径</t>
        </is>
      </c>
      <c r="B10" s="9" t="inlineStr">
        <is>
          <t>7種類（φ100〜φ600）</t>
        </is>
      </c>
    </row>
    <row r="11">
      <c r="A11" s="22" t="inlineStr">
        <is>
          <t>既設の明示</t>
        </is>
      </c>
      <c r="B11" s="9" t="inlineStr">
        <is>
          <t>あり</t>
        </is>
      </c>
    </row>
    <row r="12">
      <c r="A12" s="22" t="inlineStr">
        <is>
          <t>★要確認の型式</t>
        </is>
      </c>
      <c r="B12" s="23" t="inlineStr">
        <is>
          <t>なし</t>
        </is>
      </c>
    </row>
    <row r="14">
      <c r="A14" s="3" t="inlineStr">
        <is>
          <t>■ 実際の御見積との対比</t>
        </is>
      </c>
    </row>
    <row r="15" ht="30" customHeight="1">
      <c r="A15" s="5" t="inlineStr">
        <is>
          <t>#</t>
        </is>
      </c>
      <c r="B15" s="5" t="inlineStr">
        <is>
          <t>実際の御見積の項目</t>
        </is>
      </c>
      <c r="C15" s="5" t="inlineStr">
        <is>
          <t>CADから読み取れる項目</t>
        </is>
      </c>
      <c r="D15" s="5" t="inlineStr">
        <is>
          <t>判定</t>
        </is>
      </c>
      <c r="E15" s="5" t="inlineStr">
        <is>
          <t>差分および想定される理由</t>
        </is>
      </c>
    </row>
    <row r="16">
      <c r="A16" s="14" t="n">
        <v>1</v>
      </c>
      <c r="B16" s="9" t="inlineStr">
        <is>
          <t>バグフィルター集塵機</t>
        </is>
      </c>
      <c r="C16" s="9" t="inlineStr">
        <is>
          <t>BFR3X5</t>
        </is>
      </c>
      <c r="D16" s="24" t="inlineStr">
        <is>
          <t>✅ 一致</t>
        </is>
      </c>
      <c r="E16" s="9" t="inlineStr"/>
    </row>
    <row r="17">
      <c r="A17" s="14" t="n">
        <v>2</v>
      </c>
      <c r="B17" s="9" t="inlineStr">
        <is>
          <t>空気輸送装置:バグフィルター集塵機から定量排出装置まで</t>
        </is>
      </c>
      <c r="C17" s="9" t="inlineStr">
        <is>
          <t>CY600／PL200／PLD2.2</t>
        </is>
      </c>
      <c r="D17" s="23" t="inlineStr">
        <is>
          <t>🔶 分類・粒度が異なる</t>
        </is>
      </c>
      <c r="E17" s="9" t="inlineStr">
        <is>
          <t>機器は拾えるが「集塵機から定量排出装置まで」という区間が読み取れない。ダクトが輪郭2本の線で描かれ、系統を追えないため</t>
        </is>
      </c>
    </row>
    <row r="18">
      <c r="A18" s="14" t="n">
        <v>3</v>
      </c>
      <c r="B18" s="9" t="inlineStr">
        <is>
          <t>定量排出装置</t>
        </is>
      </c>
      <c r="C18" s="9" t="inlineStr">
        <is>
          <t>SCD5／RV25X60</t>
        </is>
      </c>
      <c r="D18" s="24" t="inlineStr">
        <is>
          <t>✅ 一致</t>
        </is>
      </c>
      <c r="E18" s="9" t="inlineStr"/>
    </row>
    <row r="19">
      <c r="A19" s="14" t="n">
        <v>4</v>
      </c>
      <c r="B19" s="9" t="inlineStr">
        <is>
          <t>投入装置</t>
        </is>
      </c>
      <c r="C19" s="9" t="inlineStr">
        <is>
          <t>RV20X35</t>
        </is>
      </c>
      <c r="D19" s="23" t="inlineStr">
        <is>
          <t>🔶 分類・粒度が異なる</t>
        </is>
      </c>
      <c r="E19" s="9" t="inlineStr">
        <is>
          <t>ロータリーバルブがどの装置に属するかの情報が図面にないため、「投入装置」への分類は推測になる</t>
        </is>
      </c>
    </row>
    <row r="20">
      <c r="A20" s="14" t="n">
        <v>5</v>
      </c>
      <c r="B20" s="9" t="inlineStr">
        <is>
          <t>制御盤</t>
        </is>
      </c>
      <c r="C20" s="9" t="inlineStr">
        <is>
          <t>制御盤ブロック6件＋容量テキスト</t>
        </is>
      </c>
      <c r="D20" s="24" t="inlineStr">
        <is>
          <t>✅ 一致</t>
        </is>
      </c>
      <c r="E20" s="9" t="inlineStr"/>
    </row>
    <row r="21">
      <c r="A21" s="14" t="n">
        <v>6</v>
      </c>
      <c r="B21" s="9" t="inlineStr">
        <is>
          <t>火花探知器</t>
        </is>
      </c>
      <c r="C21" s="9" t="inlineStr">
        <is>
          <t>SD-2E</t>
        </is>
      </c>
      <c r="D21" s="24" t="inlineStr">
        <is>
          <t>✅ 一致</t>
        </is>
      </c>
      <c r="E21" s="9" t="inlineStr"/>
    </row>
    <row r="22">
      <c r="A22" s="14" t="n">
        <v>7</v>
      </c>
      <c r="B22" s="9" t="inlineStr">
        <is>
          <t>取付工費 並 クレーン車,高所作業車</t>
        </is>
      </c>
      <c r="C22" s="9" t="inlineStr">
        <is>
          <t>—</t>
        </is>
      </c>
      <c r="D22" s="25" t="inlineStr">
        <is>
          <t>❌ 図面外の情報</t>
        </is>
      </c>
      <c r="E22" s="9" t="inlineStr">
        <is>
          <t>図面に存在しない情報</t>
        </is>
      </c>
    </row>
    <row r="23">
      <c r="A23" s="14" t="n">
        <v>8</v>
      </c>
      <c r="B23" s="9" t="inlineStr">
        <is>
          <t>電気工事2次側:制御盤から各モータの配線工事</t>
        </is>
      </c>
      <c r="C23" s="9" t="inlineStr">
        <is>
          <t>—</t>
        </is>
      </c>
      <c r="D23" s="25" t="inlineStr">
        <is>
          <t>❌ 図面外の情報</t>
        </is>
      </c>
      <c r="E23" s="9" t="inlineStr">
        <is>
          <t>図面に存在しない情報</t>
        </is>
      </c>
    </row>
    <row r="24">
      <c r="A24" s="14" t="n">
        <v>9</v>
      </c>
      <c r="B24" s="9" t="inlineStr">
        <is>
          <t>運送交通費</t>
        </is>
      </c>
      <c r="C24" s="9" t="inlineStr">
        <is>
          <t>—</t>
        </is>
      </c>
      <c r="D24" s="25" t="inlineStr">
        <is>
          <t>❌ 図面外の情報</t>
        </is>
      </c>
      <c r="E24" s="9" t="inlineStr">
        <is>
          <t>図面に存在しない情報</t>
        </is>
      </c>
    </row>
    <row r="25">
      <c r="A25" s="14" t="n">
        <v>10</v>
      </c>
      <c r="B25" s="9" t="inlineStr">
        <is>
          <t>塗装工事費:現地補修塗装</t>
        </is>
      </c>
      <c r="C25" s="9" t="inlineStr">
        <is>
          <t>—</t>
        </is>
      </c>
      <c r="D25" s="25" t="inlineStr">
        <is>
          <t>❌ 図面外の情報</t>
        </is>
      </c>
      <c r="E25" s="9" t="inlineStr">
        <is>
          <t>図面に存在しない情報</t>
        </is>
      </c>
    </row>
    <row r="26">
      <c r="A26" s="14" t="n">
        <v>11</v>
      </c>
      <c r="B26" s="9" t="inlineStr">
        <is>
          <t>工事消耗品費</t>
        </is>
      </c>
      <c r="C26" s="9" t="inlineStr">
        <is>
          <t>—</t>
        </is>
      </c>
      <c r="D26" s="25" t="inlineStr">
        <is>
          <t>❌ 図面外の情報</t>
        </is>
      </c>
      <c r="E26" s="9" t="inlineStr">
        <is>
          <t>図面に存在しない情報</t>
        </is>
      </c>
    </row>
    <row r="27">
      <c r="A27" s="14" t="n">
        <v>12</v>
      </c>
      <c r="B27" s="9" t="inlineStr">
        <is>
          <t>試運転調整費</t>
        </is>
      </c>
      <c r="C27" s="9" t="inlineStr">
        <is>
          <t>—</t>
        </is>
      </c>
      <c r="D27" s="25" t="inlineStr">
        <is>
          <t>❌ 図面外の情報</t>
        </is>
      </c>
      <c r="E27" s="9" t="inlineStr">
        <is>
          <t>図面に存在しない情報</t>
        </is>
      </c>
    </row>
    <row r="28">
      <c r="A28" s="14" t="n">
        <v>13</v>
      </c>
      <c r="B28" s="9" t="inlineStr">
        <is>
          <t>諸経費</t>
        </is>
      </c>
      <c r="C28" s="9" t="inlineStr">
        <is>
          <t>—</t>
        </is>
      </c>
      <c r="D28" s="25" t="inlineStr">
        <is>
          <t>❌ 図面外の情報</t>
        </is>
      </c>
      <c r="E28" s="9" t="inlineStr">
        <is>
          <t>図面に存在しない情報</t>
        </is>
      </c>
    </row>
    <row r="29">
      <c r="A29" s="14" t="inlineStr">
        <is>
          <t>－</t>
        </is>
      </c>
      <c r="B29" s="9" t="inlineStr">
        <is>
          <t>（御見積にダクトの独立項目なし）</t>
        </is>
      </c>
      <c r="C29" s="9" t="inlineStr">
        <is>
          <t>ダクト部品（概算）を作成</t>
        </is>
      </c>
      <c r="D29" s="23" t="inlineStr">
        <is>
          <t>🔶 分類・粒度が異なる</t>
        </is>
      </c>
      <c r="E29" s="9" t="inlineStr">
        <is>
          <t>御見積では各機器に内包する方針。大項目の立て方が案件ごとに異なるため、システム側が独立項目を作ってしまう</t>
        </is>
      </c>
    </row>
    <row r="31">
      <c r="A31" s="26" t="inlineStr">
        <is>
          <t>所見: 機器系6項目すべてを読み取れており、6図面中もっとも良好な結果です。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西北プライウッド(株)</t>
        </is>
      </c>
    </row>
    <row r="2">
      <c r="A2" s="2" t="inlineStr">
        <is>
          <t>図面: 250365A-100　／　御見積No: 2025-05-45 A1</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BFQ7、PLD5.5</t>
        </is>
      </c>
    </row>
    <row r="7">
      <c r="A7" s="22" t="inlineStr">
        <is>
          <t>モータ容量</t>
        </is>
      </c>
      <c r="B7" s="23" t="inlineStr">
        <is>
          <t>★記載なし</t>
        </is>
      </c>
    </row>
    <row r="8">
      <c r="A8" s="22" t="inlineStr">
        <is>
          <t>処理風量</t>
        </is>
      </c>
      <c r="B8" s="23" t="inlineStr">
        <is>
          <t>★記載なし</t>
        </is>
      </c>
    </row>
    <row r="9">
      <c r="A9" s="22" t="inlineStr">
        <is>
          <t>制御盤</t>
        </is>
      </c>
      <c r="B9" s="9" t="inlineStr">
        <is>
          <t>ブロック1件のみ（テキスト記載なし）</t>
        </is>
      </c>
    </row>
    <row r="10">
      <c r="A10" s="22" t="inlineStr">
        <is>
          <t>ダクト径</t>
        </is>
      </c>
      <c r="B10" s="9" t="inlineStr">
        <is>
          <t>7種類（φ100〜φ320）</t>
        </is>
      </c>
    </row>
    <row r="11">
      <c r="A11" s="22" t="inlineStr">
        <is>
          <t>既設の明示</t>
        </is>
      </c>
      <c r="B11" s="9" t="inlineStr">
        <is>
          <t>なし</t>
        </is>
      </c>
    </row>
    <row r="12">
      <c r="A12" s="22" t="inlineStr">
        <is>
          <t>★要確認の型式</t>
        </is>
      </c>
      <c r="B12" s="23" t="inlineStr">
        <is>
          <t>なし</t>
        </is>
      </c>
    </row>
    <row r="14">
      <c r="A14" s="3" t="inlineStr">
        <is>
          <t>■ 実際の御見積との対比</t>
        </is>
      </c>
    </row>
    <row r="15" ht="30" customHeight="1">
      <c r="A15" s="5" t="inlineStr">
        <is>
          <t>#</t>
        </is>
      </c>
      <c r="B15" s="5" t="inlineStr">
        <is>
          <t>実際の御見積の項目</t>
        </is>
      </c>
      <c r="C15" s="5" t="inlineStr">
        <is>
          <t>CADから読み取れる項目</t>
        </is>
      </c>
      <c r="D15" s="5" t="inlineStr">
        <is>
          <t>判定</t>
        </is>
      </c>
      <c r="E15" s="5" t="inlineStr">
        <is>
          <t>差分および想定される理由</t>
        </is>
      </c>
    </row>
    <row r="16">
      <c r="A16" s="14" t="n">
        <v>1</v>
      </c>
      <c r="B16" s="9" t="inlineStr">
        <is>
          <t>小型バグフィルター集塵機（ダスト袋含む）</t>
        </is>
      </c>
      <c r="C16" s="9" t="inlineStr">
        <is>
          <t>BFQ7</t>
        </is>
      </c>
      <c r="D16" s="23" t="inlineStr">
        <is>
          <t>🔶 分類・粒度が異なる</t>
        </is>
      </c>
      <c r="E16" s="9" t="inlineStr">
        <is>
          <t>御見積は BFQ7V。図面のブロック名は「BFQ7-60」で、末尾-60の意味が不明なため V（バリエーション）まで特定できない</t>
        </is>
      </c>
    </row>
    <row r="17">
      <c r="A17" s="14" t="n">
        <v>2</v>
      </c>
      <c r="B17" s="9" t="inlineStr">
        <is>
          <t>ダクト部品／ダクト吊り金具</t>
        </is>
      </c>
      <c r="C17" s="9" t="inlineStr">
        <is>
          <t>ダクト径7種から概算</t>
        </is>
      </c>
      <c r="D17" s="23" t="inlineStr">
        <is>
          <t>🔶 分類・粒度が異なる</t>
        </is>
      </c>
      <c r="E17" s="9" t="inlineStr">
        <is>
          <t>ダクトが建屋等と同じレイヤーにあり実長を測れないため、径の注記数からの概算にとどまる（誤差±25%）</t>
        </is>
      </c>
    </row>
    <row r="18">
      <c r="A18" s="14" t="n">
        <v>3</v>
      </c>
      <c r="B18" s="9" t="inlineStr">
        <is>
          <t>制御盤（排風機5.5kw、シェーカー0.2kw）</t>
        </is>
      </c>
      <c r="C18" s="9" t="inlineStr">
        <is>
          <t>制御盤ブロック1件のみ</t>
        </is>
      </c>
      <c r="D18" s="23" t="inlineStr">
        <is>
          <t>🔶 分類・粒度が異なる</t>
        </is>
      </c>
      <c r="E18" s="9" t="inlineStr">
        <is>
          <t>項目としては起こせるが、図面にモータ容量(kW)の記載がないため御見積の仕様（排風機5.5kw等）を再現できない</t>
        </is>
      </c>
    </row>
    <row r="19">
      <c r="A19" s="14" t="n">
        <v>4</v>
      </c>
      <c r="B19" s="9" t="inlineStr">
        <is>
          <t>取付工費 並 クレーン車,高所作業車</t>
        </is>
      </c>
      <c r="C19" s="9" t="inlineStr">
        <is>
          <t>—</t>
        </is>
      </c>
      <c r="D19" s="25" t="inlineStr">
        <is>
          <t>❌ 図面外の情報</t>
        </is>
      </c>
      <c r="E19" s="9" t="inlineStr">
        <is>
          <t>図面に存在しない情報</t>
        </is>
      </c>
    </row>
    <row r="20">
      <c r="A20" s="14" t="n">
        <v>5</v>
      </c>
      <c r="B20" s="9" t="inlineStr">
        <is>
          <t>電気工事2次側:制御盤から各モータの配線工事</t>
        </is>
      </c>
      <c r="C20" s="9" t="inlineStr">
        <is>
          <t>—</t>
        </is>
      </c>
      <c r="D20" s="25" t="inlineStr">
        <is>
          <t>❌ 図面外の情報</t>
        </is>
      </c>
      <c r="E20" s="9" t="inlineStr">
        <is>
          <t>図面に存在しない情報</t>
        </is>
      </c>
    </row>
    <row r="21">
      <c r="A21" s="14" t="n">
        <v>6</v>
      </c>
      <c r="B21" s="9" t="inlineStr">
        <is>
          <t>運送交通費</t>
        </is>
      </c>
      <c r="C21" s="9" t="inlineStr">
        <is>
          <t>—</t>
        </is>
      </c>
      <c r="D21" s="25" t="inlineStr">
        <is>
          <t>❌ 図面外の情報</t>
        </is>
      </c>
      <c r="E21" s="9" t="inlineStr">
        <is>
          <t>図面に存在しない情報</t>
        </is>
      </c>
    </row>
    <row r="22">
      <c r="A22" s="14" t="n">
        <v>7</v>
      </c>
      <c r="B22" s="9" t="inlineStr">
        <is>
          <t>塗装工事費:現地補修塗装 屋内スパイラルは塗装無し</t>
        </is>
      </c>
      <c r="C22" s="9" t="inlineStr">
        <is>
          <t>—</t>
        </is>
      </c>
      <c r="D22" s="25" t="inlineStr">
        <is>
          <t>❌ 図面外の情報</t>
        </is>
      </c>
      <c r="E22" s="9" t="inlineStr">
        <is>
          <t>図面に存在しない情報</t>
        </is>
      </c>
    </row>
    <row r="23">
      <c r="A23" s="14" t="n">
        <v>8</v>
      </c>
      <c r="B23" s="9" t="inlineStr">
        <is>
          <t>工事消耗品費</t>
        </is>
      </c>
      <c r="C23" s="9" t="inlineStr">
        <is>
          <t>—</t>
        </is>
      </c>
      <c r="D23" s="25" t="inlineStr">
        <is>
          <t>❌ 図面外の情報</t>
        </is>
      </c>
      <c r="E23" s="9" t="inlineStr">
        <is>
          <t>図面に存在しない情報</t>
        </is>
      </c>
    </row>
    <row r="24">
      <c r="A24" s="14" t="n">
        <v>9</v>
      </c>
      <c r="B24" s="9" t="inlineStr">
        <is>
          <t>試運転調整費</t>
        </is>
      </c>
      <c r="C24" s="9" t="inlineStr">
        <is>
          <t>—</t>
        </is>
      </c>
      <c r="D24" s="25" t="inlineStr">
        <is>
          <t>❌ 図面外の情報</t>
        </is>
      </c>
      <c r="E24" s="9" t="inlineStr">
        <is>
          <t>図面に存在しない情報</t>
        </is>
      </c>
    </row>
    <row r="25">
      <c r="A25" s="14" t="n">
        <v>10</v>
      </c>
      <c r="B25" s="9" t="inlineStr">
        <is>
          <t>諸経費</t>
        </is>
      </c>
      <c r="C25" s="9" t="inlineStr">
        <is>
          <t>—</t>
        </is>
      </c>
      <c r="D25" s="25" t="inlineStr">
        <is>
          <t>❌ 図面外の情報</t>
        </is>
      </c>
      <c r="E25" s="9" t="inlineStr">
        <is>
          <t>図面に存在しない情報</t>
        </is>
      </c>
    </row>
    <row r="27">
      <c r="A27" s="26" t="inlineStr">
        <is>
          <t>所見: この図面のみ、モータ容量・処理風量がまったく記載されていません。記載を追加いただければ、制御盤の仕様まで自動で組めるようになります。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(株)川井林業 雫石工場</t>
        </is>
      </c>
    </row>
    <row r="2">
      <c r="A2" s="2" t="inlineStr">
        <is>
          <t>図面: 250786A-100　／　御見積No: 2022-01-101 B</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BFR3X6、SCA675、PL4000、CY850、CY1350、CYT750、RV25X60、RV30X80、FS25、ASM300、ADC550、SD-4E、SD-2E</t>
        </is>
      </c>
    </row>
    <row r="7">
      <c r="A7" s="22" t="inlineStr">
        <is>
          <t>機器型式（今回の改修で追加）</t>
        </is>
      </c>
      <c r="B7" s="9" t="inlineStr">
        <is>
          <t>ES280P、ES325N、ES450N、ES550N（火の粉遮断弁）</t>
        </is>
      </c>
    </row>
    <row r="8">
      <c r="A8" s="22" t="inlineStr">
        <is>
          <t>モータ容量</t>
        </is>
      </c>
      <c r="B8" s="9" t="inlineStr">
        <is>
          <t>0.75 / 1.5 / 2.2 / 3.7 / 18.5 / 22.0 / 30.15 / 37.0 / 77.7 kW</t>
        </is>
      </c>
    </row>
    <row r="9">
      <c r="A9" s="22" t="inlineStr">
        <is>
          <t>処理風量</t>
        </is>
      </c>
      <c r="B9" s="9" t="inlineStr">
        <is>
          <t>550 m3/min</t>
        </is>
      </c>
    </row>
    <row r="10">
      <c r="A10" s="22" t="inlineStr">
        <is>
          <t>制御盤</t>
        </is>
      </c>
      <c r="B10" s="9" t="inlineStr">
        <is>
          <t>記載あり（4件）。【77.7kW】AC200V、【30.15kW】AC200V</t>
        </is>
      </c>
    </row>
    <row r="11">
      <c r="A11" s="22" t="inlineStr">
        <is>
          <t>ダクト径</t>
        </is>
      </c>
      <c r="B11" s="9" t="inlineStr">
        <is>
          <t>14種類（6図面中最多）</t>
        </is>
      </c>
    </row>
    <row r="12">
      <c r="A12" s="22" t="inlineStr">
        <is>
          <t>既設の明示</t>
        </is>
      </c>
      <c r="B12" s="9" t="inlineStr">
        <is>
          <t>あり（既設オガヤード／既設コンベヤ／既設サイクロン／既設ファン）</t>
        </is>
      </c>
    </row>
    <row r="13">
      <c r="A13" s="22" t="inlineStr">
        <is>
          <t>★要確認の型式</t>
        </is>
      </c>
      <c r="B13" s="23" t="inlineStr">
        <is>
          <t>BD350（内容不明）、ACD450（ADC450の誤記か）</t>
        </is>
      </c>
    </row>
    <row r="15">
      <c r="A15" s="3" t="inlineStr">
        <is>
          <t>■ 実際の御見積との対比</t>
        </is>
      </c>
    </row>
    <row r="16" ht="30" customHeight="1">
      <c r="A16" s="5" t="inlineStr">
        <is>
          <t>#</t>
        </is>
      </c>
      <c r="B16" s="5" t="inlineStr">
        <is>
          <t>実際の御見積の項目</t>
        </is>
      </c>
      <c r="C16" s="5" t="inlineStr">
        <is>
          <t>CADから読み取れる項目</t>
        </is>
      </c>
      <c r="D16" s="5" t="inlineStr">
        <is>
          <t>判定</t>
        </is>
      </c>
      <c r="E16" s="5" t="inlineStr">
        <is>
          <t>差分および想定される理由</t>
        </is>
      </c>
    </row>
    <row r="17">
      <c r="A17" s="14" t="n">
        <v>1</v>
      </c>
      <c r="B17" s="9" t="inlineStr">
        <is>
          <t>バグフィルター集塵装置</t>
        </is>
      </c>
      <c r="C17" s="9" t="inlineStr">
        <is>
          <t>BFR3X6</t>
        </is>
      </c>
      <c r="D17" s="24" t="inlineStr">
        <is>
          <t>✅ 一致</t>
        </is>
      </c>
      <c r="E17" s="9" t="inlineStr"/>
    </row>
    <row r="18">
      <c r="A18" s="14" t="n">
        <v>2</v>
      </c>
      <c r="B18" s="9" t="inlineStr">
        <is>
          <t>空気輸送装置:バグフィルター集塵機〜定量排出装置まで</t>
        </is>
      </c>
      <c r="C18" s="9" t="inlineStr">
        <is>
          <t>CY850／CY1350／PL4000</t>
        </is>
      </c>
      <c r="D18" s="23" t="inlineStr">
        <is>
          <t>🔶 分類・粒度が異なる</t>
        </is>
      </c>
      <c r="E18" s="9" t="inlineStr">
        <is>
          <t>機器は拾えるが区間が読み取れない</t>
        </is>
      </c>
    </row>
    <row r="19">
      <c r="A19" s="14" t="n">
        <v>3</v>
      </c>
      <c r="B19" s="9" t="inlineStr">
        <is>
          <t>定量排出装置</t>
        </is>
      </c>
      <c r="C19" s="9" t="inlineStr">
        <is>
          <t>SCA675／RV25X60／RV30X80</t>
        </is>
      </c>
      <c r="D19" s="24" t="inlineStr">
        <is>
          <t>✅ 一致</t>
        </is>
      </c>
      <c r="E19" s="9" t="inlineStr"/>
    </row>
    <row r="20">
      <c r="A20" s="14" t="n">
        <v>4</v>
      </c>
      <c r="B20" s="9" t="inlineStr">
        <is>
          <t>投入装置:定量排出装置〜既設ボイラーまで</t>
        </is>
      </c>
      <c r="C20" s="9" t="inlineStr">
        <is>
          <t>ASM300／FS25／CYT750</t>
        </is>
      </c>
      <c r="D20" s="23" t="inlineStr">
        <is>
          <t>🔶 分類・粒度が異なる</t>
        </is>
      </c>
      <c r="E20" s="9" t="inlineStr">
        <is>
          <t>機器は拾えるが区間が読み取れない</t>
        </is>
      </c>
    </row>
    <row r="21">
      <c r="A21" s="14" t="n">
        <v>5</v>
      </c>
      <c r="B21" s="9" t="inlineStr">
        <is>
          <t>空気輸送装置:定量供給装置〜オガヤードまで</t>
        </is>
      </c>
      <c r="C21" s="9" t="inlineStr">
        <is>
          <t>—（項目2に統合される）</t>
        </is>
      </c>
      <c r="D21" s="23" t="inlineStr">
        <is>
          <t>🔶 分類・粒度が異なる</t>
        </is>
      </c>
      <c r="E21" s="9" t="inlineStr">
        <is>
          <t>御見積は区間で大項目を分けているが、図面から系統を追えないため項目2と区別できず統合される。ダクトを系統ごとに別レイヤーへ分けていただければ解決します</t>
        </is>
      </c>
    </row>
    <row r="22">
      <c r="A22" s="14" t="n">
        <v>6</v>
      </c>
      <c r="B22" s="9" t="inlineStr">
        <is>
          <t>制御盤</t>
        </is>
      </c>
      <c r="C22" s="9" t="inlineStr">
        <is>
          <t>制御盤ブロック4件＋容量テキスト</t>
        </is>
      </c>
      <c r="D22" s="24" t="inlineStr">
        <is>
          <t>✅ 一致</t>
        </is>
      </c>
      <c r="E22" s="9" t="inlineStr"/>
    </row>
    <row r="23">
      <c r="A23" s="14" t="n">
        <v>7</v>
      </c>
      <c r="B23" s="9" t="inlineStr">
        <is>
          <t>安全装置:火花探知器,火の粉遮断弁</t>
        </is>
      </c>
      <c r="C23" s="9" t="inlineStr">
        <is>
          <t>SD-4E／SD-2E／ADC550／ES280P／ES325N／ES450N／ES550N</t>
        </is>
      </c>
      <c r="D23" s="24" t="inlineStr">
        <is>
          <t>✅ 一致（今回の改修で対応）</t>
        </is>
      </c>
      <c r="E23" s="9" t="inlineStr">
        <is>
          <t>火の粉遮断弁ES系列は従来まったく認識できず欠落していた。今回の改修で対応済み</t>
        </is>
      </c>
    </row>
    <row r="24">
      <c r="A24" s="14" t="n">
        <v>8</v>
      </c>
      <c r="B24" s="9" t="inlineStr">
        <is>
          <t>取付工費 並 レッカー車,高所作業車</t>
        </is>
      </c>
      <c r="C24" s="9" t="inlineStr">
        <is>
          <t>—</t>
        </is>
      </c>
      <c r="D24" s="25" t="inlineStr">
        <is>
          <t>❌ 図面外の情報</t>
        </is>
      </c>
      <c r="E24" s="9" t="inlineStr">
        <is>
          <t>図面に存在しない情報</t>
        </is>
      </c>
    </row>
    <row r="25">
      <c r="A25" s="14" t="n">
        <v>9</v>
      </c>
      <c r="B25" s="9" t="inlineStr">
        <is>
          <t>電気工事2次側:制御盤から各モータ,センサ等への配線工事</t>
        </is>
      </c>
      <c r="C25" s="9" t="inlineStr">
        <is>
          <t>—</t>
        </is>
      </c>
      <c r="D25" s="25" t="inlineStr">
        <is>
          <t>❌ 図面外の情報</t>
        </is>
      </c>
      <c r="E25" s="9" t="inlineStr">
        <is>
          <t>図面に存在しない情報</t>
        </is>
      </c>
    </row>
    <row r="26">
      <c r="A26" s="14" t="n">
        <v>10</v>
      </c>
      <c r="B26" s="9" t="inlineStr">
        <is>
          <t>運送交通費</t>
        </is>
      </c>
      <c r="C26" s="9" t="inlineStr">
        <is>
          <t>—</t>
        </is>
      </c>
      <c r="D26" s="25" t="inlineStr">
        <is>
          <t>❌ 図面外の情報</t>
        </is>
      </c>
      <c r="E26" s="9" t="inlineStr">
        <is>
          <t>図面に存在しない情報</t>
        </is>
      </c>
    </row>
    <row r="27">
      <c r="A27" s="14" t="n">
        <v>11</v>
      </c>
      <c r="B27" s="9" t="inlineStr">
        <is>
          <t>塗装工事費:現地補修塗装</t>
        </is>
      </c>
      <c r="C27" s="9" t="inlineStr">
        <is>
          <t>—</t>
        </is>
      </c>
      <c r="D27" s="25" t="inlineStr">
        <is>
          <t>❌ 図面外の情報</t>
        </is>
      </c>
      <c r="E27" s="9" t="inlineStr">
        <is>
          <t>図面に存在しない情報</t>
        </is>
      </c>
    </row>
    <row r="28">
      <c r="A28" s="14" t="n">
        <v>12</v>
      </c>
      <c r="B28" s="9" t="inlineStr">
        <is>
          <t>工事消耗品費</t>
        </is>
      </c>
      <c r="C28" s="9" t="inlineStr">
        <is>
          <t>—</t>
        </is>
      </c>
      <c r="D28" s="25" t="inlineStr">
        <is>
          <t>❌ 図面外の情報</t>
        </is>
      </c>
      <c r="E28" s="9" t="inlineStr">
        <is>
          <t>図面に存在しない情報</t>
        </is>
      </c>
    </row>
    <row r="29">
      <c r="A29" s="14" t="n">
        <v>13</v>
      </c>
      <c r="B29" s="9" t="inlineStr">
        <is>
          <t>試運転調整費</t>
        </is>
      </c>
      <c r="C29" s="9" t="inlineStr">
        <is>
          <t>—</t>
        </is>
      </c>
      <c r="D29" s="25" t="inlineStr">
        <is>
          <t>❌ 図面外の情報</t>
        </is>
      </c>
      <c r="E29" s="9" t="inlineStr">
        <is>
          <t>図面に存在しない情報</t>
        </is>
      </c>
    </row>
    <row r="30">
      <c r="A30" s="14" t="n">
        <v>14</v>
      </c>
      <c r="B30" s="9" t="inlineStr">
        <is>
          <t>諸経費</t>
        </is>
      </c>
      <c r="C30" s="9" t="inlineStr">
        <is>
          <t>—</t>
        </is>
      </c>
      <c r="D30" s="25" t="inlineStr">
        <is>
          <t>❌ 図面外の情報</t>
        </is>
      </c>
      <c r="E30" s="9" t="inlineStr">
        <is>
          <t>図面に存在しない情報</t>
        </is>
      </c>
    </row>
    <row r="31">
      <c r="A31" s="14" t="inlineStr">
        <is>
          <t>－</t>
        </is>
      </c>
      <c r="B31" s="9" t="inlineStr">
        <is>
          <t>（該当なし）</t>
        </is>
      </c>
      <c r="C31" s="9" t="inlineStr">
        <is>
          <t>★要確認 BD350</t>
        </is>
      </c>
      <c r="D31" s="27" t="inlineStr">
        <is>
          <t>⬜ 図面に情報がない</t>
        </is>
      </c>
      <c r="E31" s="9" t="inlineStr">
        <is>
          <t>型式らしい記載だが、何の機器か特定できない。ご教示いただきたい</t>
        </is>
      </c>
    </row>
    <row r="32">
      <c r="A32" s="14" t="inlineStr">
        <is>
          <t>－</t>
        </is>
      </c>
      <c r="B32" s="9" t="inlineStr">
        <is>
          <t>（該当なし）</t>
        </is>
      </c>
      <c r="C32" s="9" t="inlineStr">
        <is>
          <t>★要確認 ACD450</t>
        </is>
      </c>
      <c r="D32" s="27" t="inlineStr">
        <is>
          <t>⬜ 図面に情報がない</t>
        </is>
      </c>
      <c r="E32" s="9" t="inlineStr">
        <is>
          <t>御見積では同種の機器が ADC400／ADC550 と記載されており、ADC と ACD で2文字目・3文字目が入れ替わっている。同一図面内に ADC550（認識可）と ACD450（認識不可）が併存しており、誤記の可能性</t>
        </is>
      </c>
    </row>
    <row r="34">
      <c r="A34" s="26" t="inlineStr">
        <is>
          <t>所見: 既設の明示（既設〜）がなされている唯一の図面です。他の図面にも展開いただければ、見積対象外の自動判定が可能になります。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新栄合板工業(株)</t>
        </is>
      </c>
    </row>
    <row r="2">
      <c r="A2" s="2" t="inlineStr">
        <is>
          <t>図面: 260024A-100　／　御見積No: 2026-02-78A</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BFQ10V、PLD7.5</t>
        </is>
      </c>
    </row>
    <row r="7">
      <c r="A7" s="22" t="inlineStr">
        <is>
          <t>モータ容量</t>
        </is>
      </c>
      <c r="B7" s="9" t="inlineStr">
        <is>
          <t>0.2 / 7.5 kW</t>
        </is>
      </c>
    </row>
    <row r="8">
      <c r="A8" s="22" t="inlineStr">
        <is>
          <t>処理風量</t>
        </is>
      </c>
      <c r="B8" s="9" t="inlineStr">
        <is>
          <t>38 m3/min</t>
        </is>
      </c>
    </row>
    <row r="9">
      <c r="A9" s="22" t="inlineStr">
        <is>
          <t>制御盤</t>
        </is>
      </c>
      <c r="B9" s="9" t="inlineStr">
        <is>
          <t>ブロックなし。テキストで「制御盤 電気容量:7.5kw」のみ</t>
        </is>
      </c>
    </row>
    <row r="10">
      <c r="A10" s="22" t="inlineStr">
        <is>
          <t>ダクト径</t>
        </is>
      </c>
      <c r="B10" s="9" t="inlineStr">
        <is>
          <t>2種類（φ250、φ380）</t>
        </is>
      </c>
    </row>
    <row r="11">
      <c r="A11" s="22" t="inlineStr">
        <is>
          <t>既設の明示</t>
        </is>
      </c>
      <c r="B11" s="9" t="inlineStr">
        <is>
          <t>なし</t>
        </is>
      </c>
    </row>
    <row r="12">
      <c r="A12" s="22" t="inlineStr">
        <is>
          <t>★要確認の型式</t>
        </is>
      </c>
      <c r="B12" s="23" t="inlineStr">
        <is>
          <t>なし</t>
        </is>
      </c>
    </row>
    <row r="14">
      <c r="A14" s="3" t="inlineStr">
        <is>
          <t>■ 実際の御見積との対比</t>
        </is>
      </c>
    </row>
    <row r="15" ht="30" customHeight="1">
      <c r="A15" s="5" t="inlineStr">
        <is>
          <t>#</t>
        </is>
      </c>
      <c r="B15" s="5" t="inlineStr">
        <is>
          <t>実際の御見積の項目</t>
        </is>
      </c>
      <c r="C15" s="5" t="inlineStr">
        <is>
          <t>CADから読み取れる項目</t>
        </is>
      </c>
      <c r="D15" s="5" t="inlineStr">
        <is>
          <t>判定</t>
        </is>
      </c>
      <c r="E15" s="5" t="inlineStr">
        <is>
          <t>差分および想定される理由</t>
        </is>
      </c>
    </row>
    <row r="16">
      <c r="A16" s="14" t="n">
        <v>1</v>
      </c>
      <c r="B16" s="9" t="inlineStr">
        <is>
          <t>小型バグフィルター集塵機（ダスト袋含む）</t>
        </is>
      </c>
      <c r="C16" s="9" t="inlineStr">
        <is>
          <t>BFQ10V</t>
        </is>
      </c>
      <c r="D16" s="24" t="inlineStr">
        <is>
          <t>✅ 一致</t>
        </is>
      </c>
      <c r="E16" s="9" t="inlineStr">
        <is>
          <t>型式まで完全一致</t>
        </is>
      </c>
    </row>
    <row r="17">
      <c r="A17" s="14" t="n">
        <v>2</v>
      </c>
      <c r="B17" s="9" t="inlineStr">
        <is>
          <t>制御盤:屋内壁掛式（排風機7.5kw、シェーカー0.2kw）</t>
        </is>
      </c>
      <c r="C17" s="9" t="inlineStr">
        <is>
          <t>制御盤テキスト＋kW</t>
        </is>
      </c>
      <c r="D17" s="24" t="inlineStr">
        <is>
          <t>✅ 一致</t>
        </is>
      </c>
      <c r="E17" s="9" t="inlineStr">
        <is>
          <t>kW も一致</t>
        </is>
      </c>
    </row>
    <row r="18">
      <c r="A18" s="14" t="n">
        <v>3</v>
      </c>
      <c r="B18" s="9" t="inlineStr">
        <is>
          <t>ダクト部品 並 吊り金具</t>
        </is>
      </c>
      <c r="C18" s="9" t="inlineStr">
        <is>
          <t>ダクト径2種から概算</t>
        </is>
      </c>
      <c r="D18" s="23" t="inlineStr">
        <is>
          <t>🔶 分類・粒度が異なる</t>
        </is>
      </c>
      <c r="E18" s="9" t="inlineStr">
        <is>
          <t>ダクトを他の線と区別できないため実長を測れず、概算にとどまる</t>
        </is>
      </c>
    </row>
    <row r="19">
      <c r="A19" s="14" t="n">
        <v>4</v>
      </c>
      <c r="B19" s="9" t="inlineStr">
        <is>
          <t>フレキシブルホース 並 バンド</t>
        </is>
      </c>
      <c r="C19" s="9" t="inlineStr">
        <is>
          <t>—</t>
        </is>
      </c>
      <c r="D19" s="27" t="inlineStr">
        <is>
          <t>⬜ 図面に情報がない</t>
        </is>
      </c>
      <c r="E19" s="9" t="inlineStr">
        <is>
          <t>図面に描かれていない付帯品</t>
        </is>
      </c>
    </row>
    <row r="20">
      <c r="A20" s="14" t="n">
        <v>5</v>
      </c>
      <c r="B20" s="9" t="inlineStr">
        <is>
          <t>電気工事2次側:制御盤から各モータへの配線工事</t>
        </is>
      </c>
      <c r="C20" s="9" t="inlineStr">
        <is>
          <t>—</t>
        </is>
      </c>
      <c r="D20" s="25" t="inlineStr">
        <is>
          <t>❌ 図面外の情報</t>
        </is>
      </c>
      <c r="E20" s="9" t="inlineStr">
        <is>
          <t>図面に存在しない情報</t>
        </is>
      </c>
    </row>
    <row r="21">
      <c r="A21" s="14" t="n">
        <v>6</v>
      </c>
      <c r="B21" s="9" t="inlineStr">
        <is>
          <t>運送費:10t低床×1車</t>
        </is>
      </c>
      <c r="C21" s="9" t="inlineStr">
        <is>
          <t>—</t>
        </is>
      </c>
      <c r="D21" s="25" t="inlineStr">
        <is>
          <t>❌ 図面外の情報</t>
        </is>
      </c>
      <c r="E21" s="9" t="inlineStr">
        <is>
          <t>図面に存在しない情報</t>
        </is>
      </c>
    </row>
    <row r="22">
      <c r="A22" s="14" t="n">
        <v>7</v>
      </c>
      <c r="B22" s="9" t="inlineStr">
        <is>
          <t>諸経費</t>
        </is>
      </c>
      <c r="C22" s="9" t="inlineStr">
        <is>
          <t>—</t>
        </is>
      </c>
      <c r="D22" s="25" t="inlineStr">
        <is>
          <t>❌ 図面外の情報</t>
        </is>
      </c>
      <c r="E22" s="9" t="inlineStr">
        <is>
          <t>図面に存在しない情報</t>
        </is>
      </c>
    </row>
    <row r="23">
      <c r="A23" s="14" t="inlineStr">
        <is>
          <t>－</t>
        </is>
      </c>
      <c r="B23" s="9" t="inlineStr">
        <is>
          <t>（御見積に排風機の独立項目なし）</t>
        </is>
      </c>
      <c r="C23" s="9" t="inlineStr">
        <is>
          <t>排風機(直結型) PLD7.5</t>
        </is>
      </c>
      <c r="D23" s="23" t="inlineStr">
        <is>
          <t>🔶 分類・粒度が異なる</t>
        </is>
      </c>
      <c r="E23" s="9" t="inlineStr">
        <is>
          <t>御見積では集塵機本体の仕様の一部として記載（排風機:ターボファン 7.5kw 全閉モータ直結型）。部品と大項目の区別がつかないため、システムは独立行として作ってしまう</t>
        </is>
      </c>
    </row>
    <row r="25">
      <c r="A25" s="26" t="inlineStr">
        <is>
          <t>所見: 機器の型式・モータ容量・制御盤仕様まで一致した最良の結果です。なお、作図データの大半が Defpoints（本来は非表示・非印刷の特殊レイヤー）に置かれています。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(株)釧路ウッドプロダクツ 製材棟</t>
        </is>
      </c>
    </row>
    <row r="2">
      <c r="A2" s="2" t="inlineStr">
        <is>
          <t>図面: 280001A　／　御見積No: 2026-07-13 A</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BFR5X6、BFR5W6L、CY850、PL4500、RV30X60、RV30X80</t>
        </is>
      </c>
    </row>
    <row r="7">
      <c r="A7" s="22" t="inlineStr">
        <is>
          <t>モータ容量</t>
        </is>
      </c>
      <c r="B7" s="23" t="inlineStr">
        <is>
          <t>★記載なし</t>
        </is>
      </c>
    </row>
    <row r="8">
      <c r="A8" s="22" t="inlineStr">
        <is>
          <t>処理風量</t>
        </is>
      </c>
      <c r="B8" s="9" t="inlineStr">
        <is>
          <t>833 m3/min</t>
        </is>
      </c>
    </row>
    <row r="9">
      <c r="A9" s="22" t="inlineStr">
        <is>
          <t>制御盤</t>
        </is>
      </c>
      <c r="B9" s="23" t="inlineStr">
        <is>
          <t>★記載なし（ブロック0件・テキスト0件）</t>
        </is>
      </c>
    </row>
    <row r="10">
      <c r="A10" s="22" t="inlineStr">
        <is>
          <t>ダクト径</t>
        </is>
      </c>
      <c r="B10" s="9" t="inlineStr">
        <is>
          <t>7種類（φ200〜φ650）</t>
        </is>
      </c>
    </row>
    <row r="11">
      <c r="A11" s="22" t="inlineStr">
        <is>
          <t>既設の明示</t>
        </is>
      </c>
      <c r="B11" s="9" t="inlineStr">
        <is>
          <t>なし</t>
        </is>
      </c>
    </row>
    <row r="12">
      <c r="A12" s="22" t="inlineStr">
        <is>
          <t>★要確認の型式</t>
        </is>
      </c>
      <c r="B12" s="23" t="inlineStr">
        <is>
          <t>PV1200、PV800、PV01、LL01、TS-50、KV01（外部参照分とみられる）</t>
        </is>
      </c>
    </row>
    <row r="13">
      <c r="A13" s="22" t="inlineStr">
        <is>
          <t>その他</t>
        </is>
      </c>
      <c r="B13" s="9" t="inlineStr">
        <is>
          <t>レイヤー90個。フィンランド語・エストニア語のレイヤー名があり、他社図面が外部参照で取り込まれている</t>
        </is>
      </c>
    </row>
    <row r="15">
      <c r="A15" s="3" t="inlineStr">
        <is>
          <t>■ 実際の御見積との対比</t>
        </is>
      </c>
    </row>
    <row r="16" ht="30" customHeight="1">
      <c r="A16" s="5" t="inlineStr">
        <is>
          <t>#</t>
        </is>
      </c>
      <c r="B16" s="5" t="inlineStr">
        <is>
          <t>実際の御見積の項目</t>
        </is>
      </c>
      <c r="C16" s="5" t="inlineStr">
        <is>
          <t>CADから読み取れる項目</t>
        </is>
      </c>
      <c r="D16" s="5" t="inlineStr">
        <is>
          <t>判定</t>
        </is>
      </c>
      <c r="E16" s="5" t="inlineStr">
        <is>
          <t>差分および想定される理由</t>
        </is>
      </c>
    </row>
    <row r="17">
      <c r="A17" s="14" t="n">
        <v>1</v>
      </c>
      <c r="B17" s="9" t="inlineStr">
        <is>
          <t>集塵装置①:HewSawライン</t>
        </is>
      </c>
      <c r="C17" s="9" t="inlineStr">
        <is>
          <t>BFR5X6／BFR5W6L</t>
        </is>
      </c>
      <c r="D17" s="23" t="inlineStr">
        <is>
          <t>🔶 分類・粒度が異なる</t>
        </is>
      </c>
      <c r="E17" s="9" t="inlineStr">
        <is>
          <t>御見積はライン（系統）で大項目を分けているが、図面から系統を追えないため①②を区別できない</t>
        </is>
      </c>
    </row>
    <row r="18">
      <c r="A18" s="14" t="n">
        <v>2</v>
      </c>
      <c r="B18" s="9" t="inlineStr">
        <is>
          <t>集塵装置②:両端カットソーライン</t>
        </is>
      </c>
      <c r="C18" s="9" t="inlineStr">
        <is>
          <t>—（項目1に統合される）</t>
        </is>
      </c>
      <c r="D18" s="23" t="inlineStr">
        <is>
          <t>🔶 分類・粒度が異なる</t>
        </is>
      </c>
      <c r="E18" s="9" t="inlineStr">
        <is>
          <t>同上。同じ BFR5X6 が2ライン分あっても1つに統合される</t>
        </is>
      </c>
    </row>
    <row r="19">
      <c r="A19" s="14" t="n">
        <v>3</v>
      </c>
      <c r="B19" s="9" t="inlineStr">
        <is>
          <t>空気輸送装置</t>
        </is>
      </c>
      <c r="C19" s="9" t="inlineStr">
        <is>
          <t>CY850／PL4500</t>
        </is>
      </c>
      <c r="D19" s="24" t="inlineStr">
        <is>
          <t>✅ 一致</t>
        </is>
      </c>
      <c r="E19" s="9" t="inlineStr"/>
    </row>
    <row r="20">
      <c r="A20" s="14" t="n">
        <v>4</v>
      </c>
      <c r="B20" s="9" t="inlineStr">
        <is>
          <t>制御盤</t>
        </is>
      </c>
      <c r="C20" s="9" t="inlineStr">
        <is>
          <t>—</t>
        </is>
      </c>
      <c r="D20" s="27" t="inlineStr">
        <is>
          <t>⬜ 図面に情報がない</t>
        </is>
      </c>
      <c r="E20" s="9" t="inlineStr">
        <is>
          <t>図面に制御盤の記載が一切ない。本多6件・川井4件には記載があるため、この図面の記載漏れと考えられる</t>
        </is>
      </c>
    </row>
    <row r="21">
      <c r="A21" s="14" t="n">
        <v>5</v>
      </c>
      <c r="B21" s="9" t="inlineStr">
        <is>
          <t>取付工費 並 クレーン車・高所作業車</t>
        </is>
      </c>
      <c r="C21" s="9" t="inlineStr">
        <is>
          <t>—</t>
        </is>
      </c>
      <c r="D21" s="25" t="inlineStr">
        <is>
          <t>❌ 図面外の情報</t>
        </is>
      </c>
      <c r="E21" s="9" t="inlineStr">
        <is>
          <t>図面に存在しない情報</t>
        </is>
      </c>
    </row>
    <row r="22">
      <c r="A22" s="14" t="n">
        <v>6</v>
      </c>
      <c r="B22" s="9" t="inlineStr">
        <is>
          <t>電気工事2次側:制御盤から各モータ・機器への配線工事</t>
        </is>
      </c>
      <c r="C22" s="9" t="inlineStr">
        <is>
          <t>—</t>
        </is>
      </c>
      <c r="D22" s="25" t="inlineStr">
        <is>
          <t>❌ 図面外の情報</t>
        </is>
      </c>
      <c r="E22" s="9" t="inlineStr">
        <is>
          <t>図面に存在しない情報</t>
        </is>
      </c>
    </row>
    <row r="23">
      <c r="A23" s="14" t="n">
        <v>7</v>
      </c>
      <c r="B23" s="9" t="inlineStr">
        <is>
          <t>エアー配管工事:工場内エアー配管より分岐</t>
        </is>
      </c>
      <c r="C23" s="9" t="inlineStr">
        <is>
          <t>—</t>
        </is>
      </c>
      <c r="D23" s="25" t="inlineStr">
        <is>
          <t>❌ 図面外の情報</t>
        </is>
      </c>
      <c r="E23" s="9" t="inlineStr">
        <is>
          <t>図面に存在しない情報</t>
        </is>
      </c>
    </row>
    <row r="24">
      <c r="A24" s="14" t="n">
        <v>8</v>
      </c>
      <c r="B24" s="9" t="inlineStr">
        <is>
          <t>運送交通費</t>
        </is>
      </c>
      <c r="C24" s="9" t="inlineStr">
        <is>
          <t>—</t>
        </is>
      </c>
      <c r="D24" s="25" t="inlineStr">
        <is>
          <t>❌ 図面外の情報</t>
        </is>
      </c>
      <c r="E24" s="9" t="inlineStr">
        <is>
          <t>図面に存在しない情報</t>
        </is>
      </c>
    </row>
    <row r="25">
      <c r="A25" s="14" t="n">
        <v>9</v>
      </c>
      <c r="B25" s="9" t="inlineStr">
        <is>
          <t>塗装工事費:屋内スパイラルダクトは塗装無し</t>
        </is>
      </c>
      <c r="C25" s="9" t="inlineStr">
        <is>
          <t>—</t>
        </is>
      </c>
      <c r="D25" s="25" t="inlineStr">
        <is>
          <t>❌ 図面外の情報</t>
        </is>
      </c>
      <c r="E25" s="9" t="inlineStr">
        <is>
          <t>図面に存在しない情報</t>
        </is>
      </c>
    </row>
    <row r="26">
      <c r="A26" s="14" t="n">
        <v>10</v>
      </c>
      <c r="B26" s="9" t="inlineStr">
        <is>
          <t>工事消耗品</t>
        </is>
      </c>
      <c r="C26" s="9" t="inlineStr">
        <is>
          <t>—</t>
        </is>
      </c>
      <c r="D26" s="25" t="inlineStr">
        <is>
          <t>❌ 図面外の情報</t>
        </is>
      </c>
      <c r="E26" s="9" t="inlineStr">
        <is>
          <t>図面に存在しない情報</t>
        </is>
      </c>
    </row>
    <row r="27">
      <c r="A27" s="14" t="n">
        <v>11</v>
      </c>
      <c r="B27" s="9" t="inlineStr">
        <is>
          <t>試運転調整費</t>
        </is>
      </c>
      <c r="C27" s="9" t="inlineStr">
        <is>
          <t>—</t>
        </is>
      </c>
      <c r="D27" s="25" t="inlineStr">
        <is>
          <t>❌ 図面外の情報</t>
        </is>
      </c>
      <c r="E27" s="9" t="inlineStr">
        <is>
          <t>図面に存在しない情報</t>
        </is>
      </c>
    </row>
    <row r="28">
      <c r="A28" s="14" t="n">
        <v>12</v>
      </c>
      <c r="B28" s="9" t="inlineStr">
        <is>
          <t>諸経費</t>
        </is>
      </c>
      <c r="C28" s="9" t="inlineStr">
        <is>
          <t>—</t>
        </is>
      </c>
      <c r="D28" s="25" t="inlineStr">
        <is>
          <t>❌ 図面外の情報</t>
        </is>
      </c>
      <c r="E28" s="9" t="inlineStr">
        <is>
          <t>図面に存在しない情報</t>
        </is>
      </c>
    </row>
    <row r="29">
      <c r="A29" s="14" t="inlineStr">
        <is>
          <t>－</t>
        </is>
      </c>
      <c r="B29" s="9" t="inlineStr">
        <is>
          <t>（御見積に定量排出装置の大項目なし）</t>
        </is>
      </c>
      <c r="C29" s="9" t="inlineStr">
        <is>
          <t>定量排出装置（RV30X60／RV30X80）</t>
        </is>
      </c>
      <c r="D29" s="23" t="inlineStr">
        <is>
          <t>🔶 分類・粒度が異なる</t>
        </is>
      </c>
      <c r="E29" s="9" t="inlineStr">
        <is>
          <t>ロータリーバルブを機械的に定量排出装置へ分類するため、御見積にない大項目を作ってしまう。大項目の分類が6種類に固定されていることによる問題（当方の改修事項）</t>
        </is>
      </c>
    </row>
    <row r="30">
      <c r="A30" s="14" t="inlineStr">
        <is>
          <t>－</t>
        </is>
      </c>
      <c r="B30" s="9" t="inlineStr">
        <is>
          <t>（該当なし）</t>
        </is>
      </c>
      <c r="C30" s="9" t="inlineStr">
        <is>
          <t>★要確認 PV1200／PV800／PV01／LL01／TS-50／KV01</t>
        </is>
      </c>
      <c r="D30" s="27" t="inlineStr">
        <is>
          <t>⬜ 図面に情報がない</t>
        </is>
      </c>
      <c r="E30" s="9" t="inlineStr">
        <is>
          <t>外部参照で取り込まれた他社図面のブロックとみられる。自社作図範囲がレイヤーで判別できないため、他社機器を見積に含めてしまう恐れがある</t>
        </is>
      </c>
    </row>
    <row r="32">
      <c r="A32" s="26" t="inlineStr">
        <is>
          <t>所見: 制御盤・モータ容量の記載がなく、かつ他社図面が外部参照で混在しているため、6図面のなかで最も自動化が難しい図面です。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showGridLines="0"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22" customWidth="1" min="4" max="4"/>
    <col width="60" customWidth="1" min="5" max="5"/>
  </cols>
  <sheetData>
    <row r="1">
      <c r="A1" s="21" t="inlineStr">
        <is>
          <t>(株)釧路ウッドプロダクツ 加工棟</t>
        </is>
      </c>
    </row>
    <row r="2">
      <c r="A2" s="2" t="inlineStr">
        <is>
          <t>図面: 280001B　／　御見積No: 2026-07-13 B</t>
        </is>
      </c>
    </row>
    <row r="4">
      <c r="A4" s="3" t="inlineStr">
        <is>
          <t>■ CADデータから読み取れた項目</t>
        </is>
      </c>
    </row>
    <row r="5" ht="30" customHeight="1">
      <c r="A5" s="5" t="inlineStr">
        <is>
          <t>区分</t>
        </is>
      </c>
      <c r="B5" s="5" t="inlineStr">
        <is>
          <t>読み取れた内容</t>
        </is>
      </c>
    </row>
    <row r="6">
      <c r="A6" s="22" t="inlineStr">
        <is>
          <t>機器型式</t>
        </is>
      </c>
      <c r="B6" s="9" t="inlineStr">
        <is>
          <t>BFR5X6、BFR5W6L、SCA844、CY950、RV30X80、FS25</t>
        </is>
      </c>
    </row>
    <row r="7">
      <c r="A7" s="22" t="inlineStr">
        <is>
          <t>機器型式（今回の改修で追加）</t>
        </is>
      </c>
      <c r="B7" s="9" t="inlineStr">
        <is>
          <t>WL13、WL8（破砕機・ウッドグラインダー）、ES550、ES650N（火の粉遮断弁）</t>
        </is>
      </c>
    </row>
    <row r="8">
      <c r="A8" s="22" t="inlineStr">
        <is>
          <t>モータ容量</t>
        </is>
      </c>
      <c r="B8" s="23" t="inlineStr">
        <is>
          <t>★記載なし</t>
        </is>
      </c>
    </row>
    <row r="9">
      <c r="A9" s="22" t="inlineStr">
        <is>
          <t>処理風量</t>
        </is>
      </c>
      <c r="B9" s="9" t="inlineStr">
        <is>
          <t>770 m3/min</t>
        </is>
      </c>
    </row>
    <row r="10">
      <c r="A10" s="22" t="inlineStr">
        <is>
          <t>制御盤</t>
        </is>
      </c>
      <c r="B10" s="23" t="inlineStr">
        <is>
          <t>★記載なし</t>
        </is>
      </c>
    </row>
    <row r="11">
      <c r="A11" s="22" t="inlineStr">
        <is>
          <t>ダクト径</t>
        </is>
      </c>
      <c r="B11" s="9" t="inlineStr">
        <is>
          <t>10種類（φ175〜φ700）</t>
        </is>
      </c>
    </row>
    <row r="12">
      <c r="A12" s="22" t="inlineStr">
        <is>
          <t>既設の明示</t>
        </is>
      </c>
      <c r="B12" s="9" t="inlineStr">
        <is>
          <t>なし</t>
        </is>
      </c>
    </row>
    <row r="13">
      <c r="A13" s="22" t="inlineStr">
        <is>
          <t>★要確認の型式</t>
        </is>
      </c>
      <c r="B13" s="23" t="inlineStr">
        <is>
          <t>IRS-150A</t>
        </is>
      </c>
    </row>
    <row r="15">
      <c r="A15" s="3" t="inlineStr">
        <is>
          <t>■ 実際の御見積との対比</t>
        </is>
      </c>
    </row>
    <row r="16" ht="30" customHeight="1">
      <c r="A16" s="5" t="inlineStr">
        <is>
          <t>#</t>
        </is>
      </c>
      <c r="B16" s="5" t="inlineStr">
        <is>
          <t>実際の御見積の項目</t>
        </is>
      </c>
      <c r="C16" s="5" t="inlineStr">
        <is>
          <t>CADから読み取れる項目</t>
        </is>
      </c>
      <c r="D16" s="5" t="inlineStr">
        <is>
          <t>判定</t>
        </is>
      </c>
      <c r="E16" s="5" t="inlineStr">
        <is>
          <t>差分および想定される理由</t>
        </is>
      </c>
    </row>
    <row r="17">
      <c r="A17" s="14" t="n">
        <v>1</v>
      </c>
      <c r="B17" s="9" t="inlineStr">
        <is>
          <t>集塵装置</t>
        </is>
      </c>
      <c r="C17" s="9" t="inlineStr">
        <is>
          <t>BFR5X6／BFR5W6L</t>
        </is>
      </c>
      <c r="D17" s="24" t="inlineStr">
        <is>
          <t>✅ 一致</t>
        </is>
      </c>
      <c r="E17" s="9" t="inlineStr"/>
    </row>
    <row r="18">
      <c r="A18" s="14" t="n">
        <v>2</v>
      </c>
      <c r="B18" s="9" t="inlineStr">
        <is>
          <t>空気輸送装置:SCA844定量排出装置まで</t>
        </is>
      </c>
      <c r="C18" s="9" t="inlineStr">
        <is>
          <t>CY950</t>
        </is>
      </c>
      <c r="D18" s="23" t="inlineStr">
        <is>
          <t>🔶 分類・粒度が異なる</t>
        </is>
      </c>
      <c r="E18" s="9" t="inlineStr">
        <is>
          <t>機器は拾えるが区間が読み取れない</t>
        </is>
      </c>
    </row>
    <row r="19">
      <c r="A19" s="14" t="n">
        <v>3</v>
      </c>
      <c r="B19" s="9" t="inlineStr">
        <is>
          <t>定量排出装置</t>
        </is>
      </c>
      <c r="C19" s="9" t="inlineStr">
        <is>
          <t>SCA844</t>
        </is>
      </c>
      <c r="D19" s="24" t="inlineStr">
        <is>
          <t>✅ 一致</t>
        </is>
      </c>
      <c r="E19" s="9" t="inlineStr"/>
    </row>
    <row r="20">
      <c r="A20" s="14" t="n">
        <v>4</v>
      </c>
      <c r="B20" s="9" t="inlineStr">
        <is>
          <t>破砕機</t>
        </is>
      </c>
      <c r="C20" s="9" t="inlineStr">
        <is>
          <t>WL13／WL8</t>
        </is>
      </c>
      <c r="D20" s="24" t="inlineStr">
        <is>
          <t>✅ 一致（今回の改修で対応）</t>
        </is>
      </c>
      <c r="E20" s="9" t="inlineStr">
        <is>
          <t>図面には WL13_平面／WL13_側面 として正しく描かれていたが、WL系列が未登録のためまったく認識できず欠落していた。今回の改修で対応済み</t>
        </is>
      </c>
    </row>
    <row r="21">
      <c r="A21" s="14" t="n">
        <v>5</v>
      </c>
      <c r="B21" s="9" t="inlineStr">
        <is>
          <t>制御盤</t>
        </is>
      </c>
      <c r="C21" s="9" t="inlineStr">
        <is>
          <t>—</t>
        </is>
      </c>
      <c r="D21" s="27" t="inlineStr">
        <is>
          <t>⬜ 図面に情報がない</t>
        </is>
      </c>
      <c r="E21" s="9" t="inlineStr">
        <is>
          <t>図面に制御盤の記載が一切ない（製材棟と同様）</t>
        </is>
      </c>
    </row>
    <row r="22">
      <c r="A22" s="14" t="n">
        <v>6</v>
      </c>
      <c r="B22" s="9" t="inlineStr">
        <is>
          <t>安全対策装置:火花探知器 並 火の粉遮断弁</t>
        </is>
      </c>
      <c r="C22" s="9" t="inlineStr">
        <is>
          <t>ES550／ES650N</t>
        </is>
      </c>
      <c r="D22" s="24" t="inlineStr">
        <is>
          <t>✅ 一致（今回の改修で対応）</t>
        </is>
      </c>
      <c r="E22" s="9" t="inlineStr">
        <is>
          <t>ES系列が未登録のため欠落していた。今回の改修で対応済み</t>
        </is>
      </c>
    </row>
    <row r="23">
      <c r="A23" s="14" t="n">
        <v>7</v>
      </c>
      <c r="B23" s="9" t="inlineStr">
        <is>
          <t>取付工費 並 クレーン車・高所作業車</t>
        </is>
      </c>
      <c r="C23" s="9" t="inlineStr">
        <is>
          <t>—</t>
        </is>
      </c>
      <c r="D23" s="25" t="inlineStr">
        <is>
          <t>❌ 図面外の情報</t>
        </is>
      </c>
      <c r="E23" s="9" t="inlineStr">
        <is>
          <t>図面に存在しない情報</t>
        </is>
      </c>
    </row>
    <row r="24">
      <c r="A24" s="14" t="n">
        <v>8</v>
      </c>
      <c r="B24" s="9" t="inlineStr">
        <is>
          <t>電気工事2次側:制御盤から各モータ・機器への配線工事</t>
        </is>
      </c>
      <c r="C24" s="9" t="inlineStr">
        <is>
          <t>—</t>
        </is>
      </c>
      <c r="D24" s="25" t="inlineStr">
        <is>
          <t>❌ 図面外の情報</t>
        </is>
      </c>
      <c r="E24" s="9" t="inlineStr">
        <is>
          <t>図面に存在しない情報</t>
        </is>
      </c>
    </row>
    <row r="25">
      <c r="A25" s="14" t="n">
        <v>9</v>
      </c>
      <c r="B25" s="9" t="inlineStr">
        <is>
          <t>エアー配管工事:工場内エアー配管より分岐</t>
        </is>
      </c>
      <c r="C25" s="9" t="inlineStr">
        <is>
          <t>—</t>
        </is>
      </c>
      <c r="D25" s="25" t="inlineStr">
        <is>
          <t>❌ 図面外の情報</t>
        </is>
      </c>
      <c r="E25" s="9" t="inlineStr">
        <is>
          <t>図面に存在しない情報</t>
        </is>
      </c>
    </row>
    <row r="26">
      <c r="A26" s="14" t="n">
        <v>10</v>
      </c>
      <c r="B26" s="9" t="inlineStr">
        <is>
          <t>運送交通費</t>
        </is>
      </c>
      <c r="C26" s="9" t="inlineStr">
        <is>
          <t>—</t>
        </is>
      </c>
      <c r="D26" s="25" t="inlineStr">
        <is>
          <t>❌ 図面外の情報</t>
        </is>
      </c>
      <c r="E26" s="9" t="inlineStr">
        <is>
          <t>図面に存在しない情報</t>
        </is>
      </c>
    </row>
    <row r="27">
      <c r="A27" s="14" t="n">
        <v>11</v>
      </c>
      <c r="B27" s="9" t="inlineStr">
        <is>
          <t>塗装工事費:屋内スパイラルダクトは塗装無し</t>
        </is>
      </c>
      <c r="C27" s="9" t="inlineStr">
        <is>
          <t>—</t>
        </is>
      </c>
      <c r="D27" s="25" t="inlineStr">
        <is>
          <t>❌ 図面外の情報</t>
        </is>
      </c>
      <c r="E27" s="9" t="inlineStr">
        <is>
          <t>図面に存在しない情報</t>
        </is>
      </c>
    </row>
    <row r="28">
      <c r="A28" s="14" t="n">
        <v>12</v>
      </c>
      <c r="B28" s="9" t="inlineStr">
        <is>
          <t>工事消耗品</t>
        </is>
      </c>
      <c r="C28" s="9" t="inlineStr">
        <is>
          <t>—</t>
        </is>
      </c>
      <c r="D28" s="25" t="inlineStr">
        <is>
          <t>❌ 図面外の情報</t>
        </is>
      </c>
      <c r="E28" s="9" t="inlineStr">
        <is>
          <t>図面に存在しない情報</t>
        </is>
      </c>
    </row>
    <row r="29">
      <c r="A29" s="14" t="n">
        <v>13</v>
      </c>
      <c r="B29" s="9" t="inlineStr">
        <is>
          <t>試運転調整費</t>
        </is>
      </c>
      <c r="C29" s="9" t="inlineStr">
        <is>
          <t>—</t>
        </is>
      </c>
      <c r="D29" s="25" t="inlineStr">
        <is>
          <t>❌ 図面外の情報</t>
        </is>
      </c>
      <c r="E29" s="9" t="inlineStr">
        <is>
          <t>図面に存在しない情報</t>
        </is>
      </c>
    </row>
    <row r="30">
      <c r="A30" s="14" t="n">
        <v>14</v>
      </c>
      <c r="B30" s="9" t="inlineStr">
        <is>
          <t>諸経費</t>
        </is>
      </c>
      <c r="C30" s="9" t="inlineStr">
        <is>
          <t>—</t>
        </is>
      </c>
      <c r="D30" s="25" t="inlineStr">
        <is>
          <t>❌ 図面外の情報</t>
        </is>
      </c>
      <c r="E30" s="9" t="inlineStr">
        <is>
          <t>図面に存在しない情報</t>
        </is>
      </c>
    </row>
    <row r="31">
      <c r="A31" s="14" t="inlineStr">
        <is>
          <t>－</t>
        </is>
      </c>
      <c r="B31" s="9" t="inlineStr">
        <is>
          <t>（該当なし）</t>
        </is>
      </c>
      <c r="C31" s="9" t="inlineStr">
        <is>
          <t>★要確認 IRS-150A</t>
        </is>
      </c>
      <c r="D31" s="27" t="inlineStr">
        <is>
          <t>⬜ 図面に情報がない</t>
        </is>
      </c>
      <c r="E31" s="9" t="inlineStr">
        <is>
          <t>型式らしい記載だが内容を特定できない</t>
        </is>
      </c>
    </row>
    <row r="33">
      <c r="A33" s="26" t="inlineStr">
        <is>
          <t>所見: 今回の改修で最も改善した案件です。破砕機・火の粉遮断弁はいずれも図面には正しく描かれており、システム側の未対応が原因でした。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
  <sheetViews>
    <sheetView showGridLines="0" workbookViewId="0">
      <pane ySplit="1" topLeftCell="A2" activePane="bottomLeft" state="frozen"/>
      <selection pane="bottomLeft" activeCell="A1" sqref="A1"/>
    </sheetView>
  </sheetViews>
  <sheetFormatPr baseColWidth="8" defaultRowHeight="15"/>
  <cols>
    <col width="26" customWidth="1" min="1" max="1"/>
    <col width="18" customWidth="1" min="2" max="2"/>
    <col width="22" customWidth="1" min="3" max="3"/>
    <col width="10" customWidth="1" min="4" max="4"/>
    <col width="66" customWidth="1" min="5" max="5"/>
    <col width="34" customWidth="1" min="6" max="6"/>
    <col width="46" customWidth="1" min="7" max="7"/>
  </cols>
  <sheetData>
    <row r="1">
      <c r="A1" s="21" t="inlineStr">
        <is>
          <t>ダクトの長さ・仕様に関する差分</t>
        </is>
      </c>
    </row>
    <row r="3">
      <c r="A3" s="3" t="inlineStr">
        <is>
          <t>■ 結論：ダクトの「長さ」は、図面にも御見積にも数値として存在しません</t>
        </is>
      </c>
    </row>
    <row r="4">
      <c r="A4" s="2" t="inlineStr">
        <is>
          <t>・図面：ダクトが輪郭2本の平行線で描かれているため、実長を機械的に取得できません（6図面すべて）。</t>
        </is>
      </c>
    </row>
    <row r="5">
      <c r="A5" s="2" t="inlineStr">
        <is>
          <t>・御見積：ダクトはすべて「1式」で計上されており、長さ(m)の記載がありません（6見積すべて）。</t>
        </is>
      </c>
    </row>
    <row r="6">
      <c r="A6" s="2" t="inlineStr">
        <is>
          <t xml:space="preserve">　　※例外は新栄合板のフレキシブルホース「φ250×4m」のみで、これは付帯品です。</t>
        </is>
      </c>
    </row>
    <row r="7">
      <c r="A7" s="2" t="inlineStr">
        <is>
          <t>・したがって、双方に長さのデータがないため、突合して検証することが現状できません。</t>
        </is>
      </c>
    </row>
    <row r="8">
      <c r="A8" s="2" t="inlineStr">
        <is>
          <t>・当システムが出す「推定延長」は、φ注記の件数×6m という当方の仮置きであり、答え合わせができない状態です。</t>
        </is>
      </c>
    </row>
    <row r="9">
      <c r="A9" s="2" t="inlineStr">
        <is>
          <t>・ダクトを専用レイヤーに分けていただければ、双方に存在しなかった「長さ」というデータが</t>
        </is>
      </c>
    </row>
    <row r="10">
      <c r="A10" s="2" t="inlineStr">
        <is>
          <t xml:space="preserve">　初めて生まれ、積算の根拠を数値で示せるようになります（下記の検証をご参照ください）。</t>
        </is>
      </c>
    </row>
    <row r="12">
      <c r="A12" s="3" t="inlineStr">
        <is>
          <t>■ 案件別：ダクトの差分</t>
        </is>
      </c>
    </row>
    <row r="13" ht="30" customHeight="1">
      <c r="A13" s="5" t="inlineStr">
        <is>
          <t>案件</t>
        </is>
      </c>
      <c r="B13" s="5" t="inlineStr">
        <is>
          <t>図面から読み取れる情報</t>
        </is>
      </c>
      <c r="C13" s="5" t="inlineStr">
        <is>
          <t>御見積のダクト項目</t>
        </is>
      </c>
      <c r="D13" s="5" t="inlineStr">
        <is>
          <t>御見積の仕様記載</t>
        </is>
      </c>
      <c r="E13" s="5" t="inlineStr">
        <is>
          <t>数量</t>
        </is>
      </c>
      <c r="F13" s="5" t="inlineStr">
        <is>
          <t>長さの記載</t>
        </is>
      </c>
      <c r="G13" s="5" t="inlineStr">
        <is>
          <t>差分および想定される理由</t>
        </is>
      </c>
    </row>
    <row r="14">
      <c r="A14" s="6" t="inlineStr">
        <is>
          <t>(株)本多木工所</t>
        </is>
      </c>
      <c r="B14" s="9" t="inlineStr">
        <is>
          <t>径 7種／φ注記 47件
推定延長 282m（＝47件×6m・仮置き）</t>
        </is>
      </c>
      <c r="C14" s="9" t="inlineStr">
        <is>
          <t>1.2 ダクト部品／1.3 排気循環ダクト／2.3 ダクト部品／4.3 ダクト部品:補充分／6.2 火花探知器取付ダクト（頭紙にダクトの独立項目はなく、各機器に内包）</t>
        </is>
      </c>
      <c r="D14" s="9" t="inlineStr">
        <is>
          <t>直管 0.8〜1.0mm 亜鉛引きスパイラル／曲管 1.2〜1.6mm 鉄板製／循環 φ225 1.6mm鉄板製</t>
        </is>
      </c>
      <c r="E14" s="28" t="inlineStr">
        <is>
          <t>1式</t>
        </is>
      </c>
      <c r="F14" s="27" t="inlineStr">
        <is>
          <t>なし</t>
        </is>
      </c>
      <c r="G14" s="9" t="inlineStr">
        <is>
          <t>図面は径のみ取得可能で実長は取得できない。御見積も「1式」で長さを持たないため、推定延長の妥当性を検証できない。ダクトを専用レイヤーに分けることで解決する</t>
        </is>
      </c>
    </row>
    <row r="15">
      <c r="A15" s="6" t="inlineStr">
        <is>
          <t>西北プライウッド(株)</t>
        </is>
      </c>
      <c r="B15" s="9" t="inlineStr">
        <is>
          <t>径 7種／φ注記 26件
推定延長 156m（＝26件×6m・仮置き）</t>
        </is>
      </c>
      <c r="C15" s="9" t="inlineStr">
        <is>
          <t>2 ダクト部品／ダクト吊り金具</t>
        </is>
      </c>
      <c r="D15" s="9" t="inlineStr">
        <is>
          <t>1.0mm φ320〜 鉄板製 または 亜鉛引きスパイラル</t>
        </is>
      </c>
      <c r="E15" s="28" t="inlineStr">
        <is>
          <t>1式</t>
        </is>
      </c>
      <c r="F15" s="27" t="inlineStr">
        <is>
          <t>なし</t>
        </is>
      </c>
      <c r="G15" s="9" t="inlineStr">
        <is>
          <t>図面は径のみ取得可能で実長は取得できない。御見積も「1式」で長さを持たないため、推定延長の妥当性を検証できない。ダクトを専用レイヤーに分けることで解決する</t>
        </is>
      </c>
    </row>
    <row r="16">
      <c r="A16" s="6" t="inlineStr">
        <is>
          <t>(株)川井林業 雫石工場</t>
        </is>
      </c>
      <c r="B16" s="9" t="inlineStr">
        <is>
          <t>径 14種／φ注記 65件
推定延長 390m（＝65件×6m・仮置き）</t>
        </is>
      </c>
      <c r="C16" s="9" t="inlineStr">
        <is>
          <t>1.3 ダクト部品:排気循環／1.41 集塵ダクト:プレーナギャングライン用(補充分,既設ダクト使用)／1.42 集塵ダクト:高速モルダーライン用／2.5 ダクト部品／4.5 ダクト部品／2.5 ダクト部品:基本既設使用(補充分)</t>
        </is>
      </c>
      <c r="D16" s="9" t="inlineStr">
        <is>
          <t>φ400〜・φ550〜 直管 1.0〜1.6mm 鉄板製,0.8mm スパイラル管／曲管 1.2mm 鉄板製／循環 φ300／空送 φ400</t>
        </is>
      </c>
      <c r="E16" s="28" t="inlineStr">
        <is>
          <t>1式</t>
        </is>
      </c>
      <c r="F16" s="27" t="inlineStr">
        <is>
          <t>なし</t>
        </is>
      </c>
      <c r="G16" s="9" t="inlineStr">
        <is>
          <t>図面は径のみ取得可能で実長は取得できない。御見積も「1式」で長さを持たないため、推定延長の妥当性を検証できない。ダクトを専用レイヤーに分けることで解決する</t>
        </is>
      </c>
    </row>
    <row r="17">
      <c r="A17" s="6" t="inlineStr">
        <is>
          <t>新栄合板工業(株)</t>
        </is>
      </c>
      <c r="B17" s="9" t="inlineStr">
        <is>
          <t>径 2種／φ注記 14件
推定延長 84m（＝14件×6m・仮置き）</t>
        </is>
      </c>
      <c r="C17" s="9" t="inlineStr">
        <is>
          <t>3 ダクト部品 並 吊り金具／1.32 集塵ダクト部品:バグフィルターから火の粉遮断弁まで／1.33 集塵ダクト部品:火の粉遮断弁から加工機まで／2.3 ダクト部品:空気輸送用</t>
        </is>
      </c>
      <c r="D17" s="9" t="inlineStr">
        <is>
          <t>φ375〜 直管 0.8mm 亜鉛引きスパイラル／曲管 1.2mm 鉄板製／循環 φ375 0.8〜1.6mm</t>
        </is>
      </c>
      <c r="E17" s="28" t="inlineStr">
        <is>
          <t>1式</t>
        </is>
      </c>
      <c r="F17" s="27" t="inlineStr">
        <is>
          <t>なし（フレキシブルホースのみ「φ250×4m」と長さの記載あり）</t>
        </is>
      </c>
      <c r="G17" s="9" t="inlineStr">
        <is>
          <t>図面は径のみ取得可能で実長は取得できない。御見積も「1式」で長さを持たないため、推定延長の妥当性を検証できない。ダクトを専用レイヤーに分けることで解決する</t>
        </is>
      </c>
    </row>
    <row r="18">
      <c r="A18" s="6" t="inlineStr">
        <is>
          <t>(株)釧路ウッドプロダクツ 製材棟</t>
        </is>
      </c>
      <c r="B18" s="9" t="inlineStr">
        <is>
          <t>径 7種／φ注記 75件
推定延長 450m（＝75件×6m・仮置き）</t>
        </is>
      </c>
      <c r="C18" s="9" t="inlineStr">
        <is>
          <t>1.2 ダクト部品／1.3 排気循環ダクト／2.2 ダクト部品／2.3 排気循環ダクト／3.4 ダクト部品</t>
        </is>
      </c>
      <c r="D18" s="9" t="inlineStr">
        <is>
          <t>直管 1.6mm 鉄板製 または 1.0〜1.2mm 亜鉛引きスパイラル／曲管 1.5mm SUS製／（空気輸送側）直管 2.3mm 鉄板製・曲管 2.0mm SUS製</t>
        </is>
      </c>
      <c r="E18" s="28" t="inlineStr">
        <is>
          <t>1式</t>
        </is>
      </c>
      <c r="F18" s="27" t="inlineStr">
        <is>
          <t>なし</t>
        </is>
      </c>
      <c r="G18" s="9" t="inlineStr">
        <is>
          <t>図面は径のみ取得可能で実長は取得できない。御見積も「1式」で長さを持たないため、推定延長の妥当性を検証できない。ダクトを専用レイヤーに分けることで解決する</t>
        </is>
      </c>
    </row>
    <row r="19">
      <c r="A19" s="6" t="inlineStr">
        <is>
          <t>(株)釧路ウッドプロダクツ 加工棟</t>
        </is>
      </c>
      <c r="B19" s="9" t="inlineStr">
        <is>
          <t>径 10種／φ注記 21件
推定延長 126m（＝21件×6m・仮置き）</t>
        </is>
      </c>
      <c r="C19" s="9" t="inlineStr">
        <is>
          <t>1.2 ダクト部品／1.4 排気循環ダクト／2.4 ダクト部品</t>
        </is>
      </c>
      <c r="D19" s="9" t="inlineStr">
        <is>
          <t>直管 0.8〜1.0mm スパイラルダクト 又 1.0mm 鉄板製／曲管 1.2〜1.6mm 鉄板製／循環 φ325</t>
        </is>
      </c>
      <c r="E19" s="28" t="inlineStr">
        <is>
          <t>1式</t>
        </is>
      </c>
      <c r="F19" s="27" t="inlineStr">
        <is>
          <t>なし</t>
        </is>
      </c>
      <c r="G19" s="9" t="inlineStr">
        <is>
          <t>図面は径のみ取得可能で実長は取得できない。御見積も「1式」で長さを持たないため、推定延長の妥当性を検証できない。ダクトを専用レイヤーに分けることで解決する</t>
        </is>
      </c>
    </row>
    <row r="22">
      <c r="A22" s="3" t="inlineStr">
        <is>
          <t>■ 参考：図面の径と御見積の径の突合</t>
        </is>
      </c>
    </row>
    <row r="23" ht="30" customHeight="1">
      <c r="A23" s="5" t="inlineStr">
        <is>
          <t>案件</t>
        </is>
      </c>
      <c r="B23" s="5" t="inlineStr">
        <is>
          <t>図面から読み取れた径</t>
        </is>
      </c>
      <c r="C23" s="5" t="inlineStr">
        <is>
          <t>御見積に明記された径</t>
        </is>
      </c>
      <c r="D23" s="5" t="inlineStr">
        <is>
          <t>突合結果</t>
        </is>
      </c>
      <c r="E23" s="5" t="inlineStr">
        <is>
          <t>備考</t>
        </is>
      </c>
    </row>
    <row r="24">
      <c r="A24" s="6" t="inlineStr">
        <is>
          <t>(株)本多木工所</t>
        </is>
      </c>
      <c r="B24" s="9" t="inlineStr">
        <is>
          <t>φ600, φ380, φ250, φ225, φ200, φ150, φ100（7種）</t>
        </is>
      </c>
      <c r="C24" s="9" t="inlineStr">
        <is>
          <t>φ225（循環）</t>
        </is>
      </c>
      <c r="D24" s="24" t="inlineStr">
        <is>
          <t>✅ 一致</t>
        </is>
      </c>
      <c r="E24" s="9" t="inlineStr"/>
    </row>
    <row r="25">
      <c r="A25" s="6" t="inlineStr">
        <is>
          <t>西北プライウッド(株)</t>
        </is>
      </c>
      <c r="B25" s="9" t="inlineStr">
        <is>
          <t>φ320, φ300, φ250, φ200, φ175, φ150, φ100（7種）</t>
        </is>
      </c>
      <c r="C25" s="9" t="inlineStr">
        <is>
          <t>φ320〜</t>
        </is>
      </c>
      <c r="D25" s="24" t="inlineStr">
        <is>
          <t>✅ 一致</t>
        </is>
      </c>
      <c r="E25" s="9" t="inlineStr">
        <is>
          <t>御見積の起点 φ320 は図面の最大径と一致</t>
        </is>
      </c>
    </row>
    <row r="26">
      <c r="A26" s="6" t="inlineStr">
        <is>
          <t>(株)川井林業 雫石工場</t>
        </is>
      </c>
      <c r="B26" s="9" t="inlineStr">
        <is>
          <t>φ700, φ550, φ450, φ425, φ350, φ300, φ280, φ250, φ225, φ200, φ175, φ150, φ125, φ100（14種）</t>
        </is>
      </c>
      <c r="C26" s="9" t="inlineStr">
        <is>
          <t>φ550〜, φ400〜, φ300（循環）, φ400（空送）</t>
        </is>
      </c>
      <c r="D26" s="23" t="inlineStr">
        <is>
          <t>🔶 一部不一致</t>
        </is>
      </c>
      <c r="E26" s="9" t="inlineStr">
        <is>
          <t>御見積の φ400 が図面にない（図面は φ425／φ450）。呼び径と図面寸法の基準が異なる可能性</t>
        </is>
      </c>
    </row>
    <row r="27">
      <c r="A27" s="6" t="inlineStr">
        <is>
          <t>新栄合板工業(株)</t>
        </is>
      </c>
      <c r="B27" s="9" t="inlineStr">
        <is>
          <t>φ380, φ250（2種）</t>
        </is>
      </c>
      <c r="C27" s="9" t="inlineStr">
        <is>
          <t>φ375〜, φ375（循環）, φ250（フレキ）</t>
        </is>
      </c>
      <c r="D27" s="23" t="inlineStr">
        <is>
          <t>🔶 一部不一致</t>
        </is>
      </c>
      <c r="E27" s="9" t="inlineStr">
        <is>
          <t>御見積 φ375 に対し図面は φ380。5mmの差があり、呼び径と図面寸法の基準が異なる可能性</t>
        </is>
      </c>
    </row>
    <row r="28">
      <c r="A28" s="6" t="inlineStr">
        <is>
          <t>(株)釧路ウッドプロダクツ 製材棟</t>
        </is>
      </c>
      <c r="B28" s="9" t="inlineStr">
        <is>
          <t>φ650, φ600, φ550, φ475, φ375, φ300, φ200（7種）</t>
        </is>
      </c>
      <c r="C28" s="9" t="inlineStr">
        <is>
          <t>記載なし</t>
        </is>
      </c>
      <c r="D28" s="27" t="inlineStr">
        <is>
          <t>⬜ 突合不可</t>
        </is>
      </c>
      <c r="E28" s="9" t="inlineStr">
        <is>
          <t>御見積のダクト仕様に径の記載がない</t>
        </is>
      </c>
    </row>
    <row r="29">
      <c r="A29" s="6" t="inlineStr">
        <is>
          <t>(株)釧路ウッドプロダクツ 加工棟</t>
        </is>
      </c>
      <c r="B29" s="9" t="inlineStr">
        <is>
          <t>φ700, φ650, φ600, φ550, φ500, φ350, φ275, φ250, φ225, φ175（10種）</t>
        </is>
      </c>
      <c r="C29" s="9" t="inlineStr">
        <is>
          <t>φ325（循環）</t>
        </is>
      </c>
      <c r="D29" s="23" t="inlineStr">
        <is>
          <t>🔶 一部不一致</t>
        </is>
      </c>
      <c r="E29" s="9" t="inlineStr">
        <is>
          <t>御見積 φ325 が図面にない（図面は φ350）</t>
        </is>
      </c>
    </row>
    <row r="31">
      <c r="A31" s="26" t="inlineStr">
        <is>
          <t>※ 新栄合板（御見積φ375 / 図面φ380）、釧路 加工棟（御見積φ325 / 図面φ350）、</t>
        </is>
      </c>
    </row>
    <row r="32">
      <c r="A32" s="26" t="inlineStr">
        <is>
          <t xml:space="preserve">　 川井林業（御見積φ400 / 図面φ425・φ450）で、御見積の径が図面に存在しません。</t>
        </is>
      </c>
    </row>
    <row r="33">
      <c r="A33" s="26" t="inlineStr">
        <is>
          <t xml:space="preserve">　 御見積は呼び径、図面は外径やフランジ径を記載しているなど、基準が異なる可能性があります。</t>
        </is>
      </c>
    </row>
    <row r="34">
      <c r="A34" s="26" t="inlineStr">
        <is>
          <t xml:space="preserve">　 どちらを正とするか、また対応表の有無をご教示ください。</t>
        </is>
      </c>
    </row>
    <row r="36">
      <c r="A36" s="3" t="inlineStr">
        <is>
          <t>■ 検証：ダクトの「枠（輪郭2本の平行線）」から長さを測れるか</t>
        </is>
      </c>
    </row>
    <row r="37">
      <c r="A37" s="2" t="inlineStr">
        <is>
          <t>「ダクトは輪郭の2本線で囲まれているのだから、その間隔と長さを測れないか」というご指摘を受け、</t>
        </is>
      </c>
    </row>
    <row r="38">
      <c r="A38" s="2" t="inlineStr">
        <is>
          <t>実際に検証しました。DXFのブロック定義を展開して全線分を実座標に復元し（新栄合板 97,454本／</t>
        </is>
      </c>
    </row>
    <row r="39">
      <c r="A39" s="2" t="inlineStr">
        <is>
          <t>西北プライウッド 222,973本）、図面から読み取れた径と同じ間隔で平行に走る線分のペアを検出して、</t>
        </is>
      </c>
    </row>
    <row r="40">
      <c r="A40" s="2" t="inlineStr">
        <is>
          <t>中心線の長さを測っています（二重計上を避けるため区間は統合済み）。</t>
        </is>
      </c>
    </row>
    <row r="42" ht="30" customHeight="1">
      <c r="A42" s="5" t="inlineStr">
        <is>
          <t>案件</t>
        </is>
      </c>
      <c r="B42" s="5" t="inlineStr">
        <is>
          <t>実測: 全レイヤー</t>
        </is>
      </c>
      <c r="C42" s="5" t="inlineStr">
        <is>
          <t>実測: 自社作図レイヤーのみ</t>
        </is>
      </c>
      <c r="D42" s="5" t="inlineStr">
        <is>
          <t>ぶれ幅</t>
        </is>
      </c>
      <c r="E42" s="5" t="inlineStr">
        <is>
          <t>評価・想定される理由</t>
        </is>
      </c>
    </row>
    <row r="43">
      <c r="A43" s="6" t="inlineStr">
        <is>
          <t>(株)本多木工所</t>
        </is>
      </c>
      <c r="B43" s="29" t="inlineStr">
        <is>
          <t>807.8 m</t>
        </is>
      </c>
      <c r="C43" s="29" t="inlineStr">
        <is>
          <t>536.4 m</t>
        </is>
      </c>
      <c r="D43" s="30" t="inlineStr">
        <is>
          <t>1.5倍</t>
        </is>
      </c>
      <c r="E43" s="9" t="inlineStr">
        <is>
          <t>自社作図分が「製作図」に比較的よくまとまっているため、ぶれは小さい。ただし径が7種類あり、絞り込み後も過大とみられる</t>
        </is>
      </c>
    </row>
    <row r="44">
      <c r="A44" s="6" t="inlineStr">
        <is>
          <t>西北プライウッド(株)</t>
        </is>
      </c>
      <c r="B44" s="29" t="inlineStr">
        <is>
          <t>1,596.7 m</t>
        </is>
      </c>
      <c r="C44" s="29" t="inlineStr">
        <is>
          <t>1,440.4 m</t>
        </is>
      </c>
      <c r="D44" s="30" t="inlineStr">
        <is>
          <t>1.1倍</t>
        </is>
      </c>
      <c r="E44" s="9" t="inlineStr">
        <is>
          <t>22万本の線分がほぼすべて「製作図」レイヤーに集中しており、絞り込みが機能しない。ぶれが小さいのは分離できていないためで、良い状態ではない</t>
        </is>
      </c>
    </row>
    <row r="45">
      <c r="A45" s="6" t="inlineStr">
        <is>
          <t>(株)川井林業 雫石工場</t>
        </is>
      </c>
      <c r="B45" s="29" t="inlineStr">
        <is>
          <t>9,290.1 m</t>
        </is>
      </c>
      <c r="C45" s="29" t="inlineStr">
        <is>
          <t>945.3 m</t>
        </is>
      </c>
      <c r="D45" s="30" t="inlineStr">
        <is>
          <t>9.8倍</t>
        </is>
      </c>
      <c r="E45" s="9" t="inlineStr">
        <is>
          <t>レイヤー「0」「レイヤー 1」に1.6万本が載っており、絞り込みの効果が非常に大きい</t>
        </is>
      </c>
    </row>
    <row r="46">
      <c r="A46" s="6" t="inlineStr">
        <is>
          <t>新栄合板工業(株)</t>
        </is>
      </c>
      <c r="B46" s="29" t="inlineStr">
        <is>
          <t>310.8 m</t>
        </is>
      </c>
      <c r="C46" s="29" t="inlineStr">
        <is>
          <t>36.1 m</t>
        </is>
      </c>
      <c r="D46" s="31" t="inlineStr">
        <is>
          <t>8.6倍</t>
        </is>
      </c>
      <c r="E46" s="9" t="inlineStr">
        <is>
          <t>径が2種類のみで誤検出が少なく、6図面中もっとも妥当な結果。レイヤーを絞れば実用可能な水準に近い</t>
        </is>
      </c>
    </row>
    <row r="47">
      <c r="A47" s="6" t="inlineStr">
        <is>
          <t>(株)釧路ウッドプロダクツ 製材棟</t>
        </is>
      </c>
      <c r="B47" s="29" t="inlineStr">
        <is>
          <t>—</t>
        </is>
      </c>
      <c r="C47" s="29" t="inlineStr">
        <is>
          <t>—</t>
        </is>
      </c>
      <c r="D47" s="32" t="inlineStr">
        <is>
          <t>—</t>
        </is>
      </c>
      <c r="E47" s="9" t="inlineStr">
        <is>
          <t>検証未実施。DWGが96MBと大きく変換できなかったため。外部参照で他社図面が混在しており、レイヤーによる絞り込み自体が困難とみられる</t>
        </is>
      </c>
    </row>
    <row r="48">
      <c r="A48" s="6" t="inlineStr">
        <is>
          <t>(株)釧路ウッドプロダクツ 加工棟</t>
        </is>
      </c>
      <c r="B48" s="29" t="inlineStr">
        <is>
          <t>8,285.7 m</t>
        </is>
      </c>
      <c r="C48" s="29" t="inlineStr">
        <is>
          <t>722.4 m</t>
        </is>
      </c>
      <c r="D48" s="30" t="inlineStr">
        <is>
          <t>11.5倍</t>
        </is>
      </c>
      <c r="E48" s="9" t="inlineStr">
        <is>
          <t>建屋側レイヤー（601_SETUBI1）に1万本が載っており、絞り込みの効果が大きい</t>
        </is>
      </c>
    </row>
    <row r="50">
      <c r="A50" s="26" t="inlineStr">
        <is>
          <t>【結論】枠から測るという発想は正しく、現に測れています。問題は「その枠がダクトなのか、壁なのか、</t>
        </is>
      </c>
    </row>
    <row r="51">
      <c r="A51" s="2" t="inlineStr">
        <is>
          <t xml:space="preserve">　　　　機械の外形なのか」を図面が教えてくれない一点に尽きます。同じ図面でもレイヤーを絞るか</t>
        </is>
      </c>
    </row>
    <row r="52">
      <c r="A52" s="2" t="inlineStr">
        <is>
          <t xml:space="preserve">　　　　どうかで36m〜311mと約9倍ぶれており、このままでは積算に使えません。</t>
        </is>
      </c>
    </row>
    <row r="53">
      <c r="A53" s="2" t="inlineStr"/>
    </row>
    <row r="54">
      <c r="A54" s="2" t="inlineStr">
        <is>
          <t>精度が出ない理由：</t>
        </is>
      </c>
    </row>
    <row r="55">
      <c r="A55" s="2" t="inlineStr">
        <is>
          <t xml:space="preserve">　1) φ250やφ380は壁厚・柱間隔・機械フレームなど図面に無数に存在する寸法で、間隔だけでは判別できない</t>
        </is>
      </c>
    </row>
    <row r="56">
      <c r="A56" s="2" t="inlineStr">
        <is>
          <t xml:space="preserve">　2) レイヤーが分離されていない図面では絞り込みが機能しない（西北は22万本が1つのレイヤーに集中）</t>
        </is>
      </c>
    </row>
    <row r="57">
      <c r="A57" s="2" t="inlineStr">
        <is>
          <t xml:space="preserve">　3) 径の候補が多いほど「どれかに当たってしまう」確率が上がる（西北は径7種類で誤検出が急増）</t>
        </is>
      </c>
    </row>
    <row r="58">
      <c r="A58" s="2" t="inlineStr">
        <is>
          <t xml:space="preserve">　4) 立ち上がり（垂直部）は平面図に長さが出ないため、この方法でも取得できない</t>
        </is>
      </c>
    </row>
    <row r="59">
      <c r="A59" s="2" t="inlineStr">
        <is>
          <t xml:space="preserve">　5) 御見積が「1式」で長さを持たないため、係数を較正する正解データがない</t>
        </is>
      </c>
    </row>
    <row r="60">
      <c r="A60" s="2" t="inlineStr"/>
    </row>
    <row r="61">
      <c r="A61" s="26" t="inlineStr">
        <is>
          <t>【ご提案】ダクトを専用レイヤーに分けていただければ、1) と 2) は原理的に解消します。</t>
        </is>
      </c>
    </row>
    <row r="62">
      <c r="A62" s="2" t="inlineStr">
        <is>
          <t xml:space="preserve">　　　　　作図方法（輪郭2本の平行線）は現状のままで構いません。</t>
        </is>
      </c>
    </row>
    <row r="63">
      <c r="A63" s="2" t="inlineStr">
        <is>
          <t xml:space="preserve">　　　　　さらに系統ごとにレイヤーを分けていただければ、御見積の大項目の分け方まで再現できます。</t>
        </is>
      </c>
    </row>
    <row r="64">
      <c r="A64" s="2" t="inlineStr">
        <is>
          <t xml:space="preserve">　　　　　4) の立ち上がりのみ、別途「(6000H)」形式の高さ注記が必要です。</t>
        </is>
      </c>
    </row>
    <row r="66">
      <c r="A66" s="3" t="inlineStr">
        <is>
          <t>■ 参考：御見積では取付工数が「系統別」に積まれています</t>
        </is>
      </c>
    </row>
    <row r="67">
      <c r="A67" s="2" t="inlineStr">
        <is>
          <t>御見積の取付工費の内訳を拝見すると、ダクトの据付が系統ごとに分けて計上されています。</t>
        </is>
      </c>
    </row>
    <row r="68">
      <c r="A68" s="2" t="inlineStr">
        <is>
          <t xml:space="preserve">　・本多木工所　：据付／集塵ダクト、据付／空送ダクト、据付／投入ダクト</t>
        </is>
      </c>
    </row>
    <row r="69">
      <c r="A69" s="2" t="inlineStr">
        <is>
          <t xml:space="preserve">　・釧路（A・B）：屋外ダクト①②、屋内ダクトメイン①、屋内ダクトメイン②、屋内ダクト枝①</t>
        </is>
      </c>
    </row>
    <row r="70">
      <c r="A70" s="2" t="inlineStr">
        <is>
          <t>つまり、実務では既に「系統」を単位として数量を把握されています。</t>
        </is>
      </c>
    </row>
    <row r="71">
      <c r="A71" s="2" t="inlineStr">
        <is>
          <t>図面のダクトを系統ごとに別レイヤーへ分けていただければ、この実務上の区分と図面が一致し、</t>
        </is>
      </c>
    </row>
    <row r="72">
      <c r="A72" s="2" t="inlineStr">
        <is>
          <t>材料費だけでなく取付工数の自動算出にも道が開けます。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showGridLines="0" workbookViewId="0">
      <pane ySplit="5" topLeftCell="A6" activePane="bottomLeft" state="frozen"/>
      <selection pane="bottomLeft" activeCell="A1" sqref="A1"/>
    </sheetView>
  </sheetViews>
  <sheetFormatPr baseColWidth="8" defaultRowHeight="15"/>
  <cols>
    <col width="16" customWidth="1" min="1" max="1"/>
    <col width="52" customWidth="1" min="2" max="2"/>
    <col width="60" customWidth="1" min="3" max="3"/>
    <col width="42" customWidth="1" min="4" max="4"/>
    <col width="10" customWidth="1" min="5" max="5"/>
  </cols>
  <sheetData>
    <row r="1">
      <c r="A1" s="21" t="inlineStr">
        <is>
          <t>図面作成の運用統一に関するご提案</t>
        </is>
      </c>
    </row>
    <row r="2">
      <c r="A2" s="2" t="inlineStr">
        <is>
          <t>本シートは、実案件6図面の機械解析で判明した事実にもとづくご提案です。「現状」欄はすべて実測に基づいています。</t>
        </is>
      </c>
    </row>
    <row r="3">
      <c r="A3" s="2" t="inlineStr">
        <is>
          <t>優先度：必須＝これが無いと自動化できない／推奨＝精度と手戻りが改善する／対応済＝当方のシステム側で実装済み</t>
        </is>
      </c>
    </row>
    <row r="5" ht="30" customHeight="1">
      <c r="A5" s="5" t="inlineStr">
        <is>
          <t>区分</t>
        </is>
      </c>
      <c r="B5" s="5" t="inlineStr">
        <is>
          <t>ご提案するルール</t>
        </is>
      </c>
      <c r="C5" s="5" t="inlineStr">
        <is>
          <t>現状（実測）</t>
        </is>
      </c>
      <c r="D5" s="5" t="inlineStr">
        <is>
          <t>見込まれる効果</t>
        </is>
      </c>
      <c r="E5" s="5" t="inlineStr">
        <is>
          <t>優先度</t>
        </is>
      </c>
    </row>
    <row r="6">
      <c r="A6" s="33" t="inlineStr">
        <is>
          <t>A. ダクト</t>
        </is>
      </c>
      <c r="B6" s="9" t="inlineStr">
        <is>
          <t>ダクトを専用レイヤーに載せる（例: INOUE_ダクト）。作図方法は現状の「輪郭2本の平行線」のままでよい</t>
        </is>
      </c>
      <c r="C6" s="9" t="inlineStr">
        <is>
          <t>ダクトの輪郭線が建屋・機械と同じレイヤーにあり、壁厚や機械フレームと区別できない。実測では、同じ図面でもレイヤーを絞るかどうかで検出延長が36m〜311mと約9倍ぶれた</t>
        </is>
      </c>
      <c r="D6" s="9" t="inlineStr">
        <is>
          <t>描き方を変えずに、平行線の間隔からダクトの延長を自動で測れるようになる。現場の負担が最も小さい</t>
        </is>
      </c>
      <c r="E6" s="34" t="inlineStr">
        <is>
          <t>必須</t>
        </is>
      </c>
    </row>
    <row r="7">
      <c r="A7" s="33" t="inlineStr"/>
      <c r="B7" s="9" t="inlineStr">
        <is>
          <t>さらに系統ごとにレイヤーを分ける（例: INOUE_ダクト_集塵／INOUE_ダクト_空送／INOUE_ダクト_投入。屋内外や枝の別があればそれも分ける）</t>
        </is>
      </c>
      <c r="C7" s="9" t="inlineStr">
        <is>
          <t>御見積の大項目が「集塵機〜定量排出装置まで」「HewSawライン」のように系統・区間で定義されているが、図面から系統を追えず川井林業・釧路製材棟で項目が統合されてしまう。一方、御見積の取付工費は既に「集塵ダクト／空送ダクト／投入ダクト」「屋外ダクト①②／屋内ダクトメイン①」と系統別に積まれている</t>
        </is>
      </c>
      <c r="D7" s="9" t="inlineStr">
        <is>
          <t>御見積の大項目の分け方そのものを自動で再現できる。既に実務で使われている区分をレイヤー名にするだけでよく、新たな作図作業は発生しない</t>
        </is>
      </c>
      <c r="E7" s="34" t="inlineStr">
        <is>
          <t>必須</t>
        </is>
      </c>
    </row>
    <row r="8">
      <c r="A8" s="33" t="inlineStr"/>
      <c r="B8" s="9" t="inlineStr">
        <is>
          <t>見た目用のハッチ・寸法・引出線は、ダクト本体のレイヤーに混ぜない</t>
        </is>
      </c>
      <c r="C8" s="9" t="inlineStr">
        <is>
          <t>ダクト本体の線と装飾が同じレイヤーにあると、積算対象の線を選別できない</t>
        </is>
      </c>
      <c r="D8" s="9" t="inlineStr">
        <is>
          <t>誤検出を減らせる</t>
        </is>
      </c>
      <c r="E8" s="35" t="inlineStr">
        <is>
          <t>推奨</t>
        </is>
      </c>
    </row>
    <row r="9">
      <c r="A9" s="33" t="inlineStr"/>
      <c r="B9" s="9" t="inlineStr">
        <is>
          <t>径の注記（呼び径）を、対象のダクトに沿えて必ず置く</t>
        </is>
      </c>
      <c r="C9" s="9" t="inlineStr">
        <is>
          <t>径の注記自体は拾えるが、どの径がどの経路のものかを結び付けられない</t>
        </is>
      </c>
      <c r="D9" s="9" t="inlineStr">
        <is>
          <t>径ごとの延長を正しく集計できる</t>
        </is>
      </c>
      <c r="E9" s="34" t="inlineStr">
        <is>
          <t>必須</t>
        </is>
      </c>
    </row>
    <row r="10">
      <c r="A10" s="33" t="inlineStr"/>
      <c r="B10" s="9" t="inlineStr">
        <is>
          <t>立ち上がり（垂直部）は「(6000H)」形式の高さ注記を必須とする</t>
        </is>
      </c>
      <c r="C10" s="9" t="inlineStr">
        <is>
          <t>平面図では垂直部の長さが出ない。レイヤーを分けても平面図である限り解決しないため、注記が唯一の手段。西北プライウッドに「φ300SD(6000H)」の実例あり</t>
        </is>
      </c>
      <c r="D10" s="9" t="inlineStr">
        <is>
          <t>立ち上がり分の材料を計上できる</t>
        </is>
      </c>
      <c r="E10" s="34" t="inlineStr">
        <is>
          <t>必須</t>
        </is>
      </c>
    </row>
    <row r="11">
      <c r="A11" s="33" t="inlineStr"/>
      <c r="B11" s="9" t="inlineStr">
        <is>
          <t>角ダクトの呼称を統一する（寸法が一辺か相当径かを明示する）</t>
        </is>
      </c>
      <c r="C11" s="9" t="inlineStr">
        <is>
          <t>川井林業に「550_角ダクト」「700_角ダクト」があるが、550/700が何の寸法か不明</t>
        </is>
      </c>
      <c r="D11" s="9" t="inlineStr">
        <is>
          <t>角ダクトも積算対象にできる</t>
        </is>
      </c>
      <c r="E11" s="35" t="inlineStr">
        <is>
          <t>推奨</t>
        </is>
      </c>
    </row>
    <row r="12">
      <c r="A12" s="33" t="inlineStr">
        <is>
          <t>B. ダクト継手</t>
        </is>
      </c>
      <c r="B12" s="9" t="inlineStr">
        <is>
          <t>継手（フランジ・エルボ・径違い）は線ではなくブロック配置に統一する</t>
        </is>
      </c>
      <c r="C12" s="9" t="inlineStr">
        <is>
          <t>フランジの配置数が川井97個・釧路製材棟35個に対し、西北と新栄は0個。図面ごとに描き方が完全に異なる</t>
        </is>
      </c>
      <c r="D12" s="9" t="inlineStr">
        <is>
          <t>継手の数量が自動で拾える</t>
        </is>
      </c>
      <c r="E12" s="34" t="inlineStr">
        <is>
          <t>必須</t>
        </is>
      </c>
    </row>
    <row r="13">
      <c r="A13" s="33" t="inlineStr"/>
      <c r="B13" s="9" t="inlineStr">
        <is>
          <t>エルボのブロック名に径と角度を持たせる（例: エルボ_φ500_90度）</t>
        </is>
      </c>
      <c r="C13" s="9" t="inlineStr">
        <is>
          <t>現状は「エルボ」「エルボ下り新」の2種類のみで、径も角度も分からない</t>
        </is>
      </c>
      <c r="D13" s="9" t="inlineStr">
        <is>
          <t>エルボを径別に積算できる</t>
        </is>
      </c>
      <c r="E13" s="34" t="inlineStr">
        <is>
          <t>必須</t>
        </is>
      </c>
    </row>
    <row r="14">
      <c r="A14" s="33" t="inlineStr"/>
      <c r="B14" s="9" t="inlineStr">
        <is>
          <t>径違い継手は「ダクト受け_600-475」の形式に統一する</t>
        </is>
      </c>
      <c r="C14" s="9" t="inlineStr">
        <is>
          <t>釧路製材棟のみこの良い命名がされている</t>
        </is>
      </c>
      <c r="D14" s="9" t="inlineStr">
        <is>
          <t>前後の径が読み取れ、部品表がそのまま作れる</t>
        </is>
      </c>
      <c r="E14" s="35" t="inlineStr">
        <is>
          <t>推奨</t>
        </is>
      </c>
    </row>
    <row r="15">
      <c r="A15" s="33" t="inlineStr"/>
      <c r="B15" s="9" t="inlineStr">
        <is>
          <t>フランジ名「ダクトフランジφ555-L5×40」の形式を全図面へ展開する</t>
        </is>
      </c>
      <c r="C15" s="9" t="inlineStr">
        <is>
          <t>径・アングル材・板厚まで入った優れた命名。川井林業・釧路で使われている</t>
        </is>
      </c>
      <c r="D15" s="9" t="inlineStr">
        <is>
          <t>そのまま部品表になる粒度で拾える</t>
        </is>
      </c>
      <c r="E15" s="35" t="inlineStr">
        <is>
          <t>推奨</t>
        </is>
      </c>
    </row>
    <row r="16">
      <c r="A16" s="6" t="inlineStr">
        <is>
          <t>C. ブロック名</t>
        </is>
      </c>
      <c r="B16" s="9" t="inlineStr">
        <is>
          <t>工番をブロック名に入れない</t>
        </is>
      </c>
      <c r="C16" s="9" t="inlineStr">
        <is>
          <t>「240001A-SCA675」「260001A_SCA844」のように図面流用で前案件の工番が残っている</t>
        </is>
      </c>
      <c r="D16" s="9" t="inlineStr">
        <is>
          <t>誤った工番の混入を防げる</t>
        </is>
      </c>
      <c r="E16" s="34" t="inlineStr">
        <is>
          <t>必須</t>
        </is>
      </c>
    </row>
    <row r="17">
      <c r="A17" s="6" t="inlineStr"/>
      <c r="B17" s="9" t="inlineStr">
        <is>
          <t>「×」と「X」を統一する</t>
        </is>
      </c>
      <c r="C17" s="9" t="inlineStr">
        <is>
          <t>同一図面内に「BFR3×5」と「BFR3X5」が混在している</t>
        </is>
      </c>
      <c r="D17" s="9" t="inlineStr">
        <is>
          <t>型式の照合精度が上がる</t>
        </is>
      </c>
      <c r="E17" s="34" t="inlineStr">
        <is>
          <t>必須</t>
        </is>
      </c>
    </row>
    <row r="18">
      <c r="A18" s="6" t="inlineStr"/>
      <c r="B18" s="9" t="inlineStr">
        <is>
          <t>「ADC」と「ACD」の綴りを統一する</t>
        </is>
      </c>
      <c r="C18" s="9" t="inlineStr">
        <is>
          <t>川井林業に ADC550（認識可）と ACD450（認識不可）が併存。誤記とみられる</t>
        </is>
      </c>
      <c r="D18" s="9" t="inlineStr">
        <is>
          <t>1文字違いで機器が丸ごと欠落する事態を防げる</t>
        </is>
      </c>
      <c r="E18" s="34" t="inlineStr">
        <is>
          <t>必須</t>
        </is>
      </c>
    </row>
    <row r="19">
      <c r="A19" s="6" t="inlineStr"/>
      <c r="B19" s="9" t="inlineStr">
        <is>
          <t>サフィックスの意味を定義書化する（-60 / K209 / -2R52 など）</t>
        </is>
      </c>
      <c r="C19" s="9" t="inlineStr">
        <is>
          <t>「BFQ7-60」「PL200K209」「PLD5.5-2R52」の末尾の意味が不明で、型式を特定しきれない</t>
        </is>
      </c>
      <c r="D19" s="9" t="inlineStr">
        <is>
          <t>BFQ7 と BFQ7V のような枝番まで特定できる</t>
        </is>
      </c>
      <c r="E19" s="35" t="inlineStr">
        <is>
          <t>推奨</t>
        </is>
      </c>
    </row>
    <row r="20">
      <c r="A20" s="6" t="inlineStr"/>
      <c r="B20" s="9" t="inlineStr">
        <is>
          <t>CADの自動生成名を残さない（BLOCK123 / BFR5W6LBLOCK024 など）</t>
        </is>
      </c>
      <c r="C20" s="9" t="inlineStr">
        <is>
          <t>自動生成名が多数残っており、機器か否かの判別ができない</t>
        </is>
      </c>
      <c r="D20" s="9" t="inlineStr">
        <is>
          <t>誤検出が減る</t>
        </is>
      </c>
      <c r="E20" s="35" t="inlineStr">
        <is>
          <t>推奨</t>
        </is>
      </c>
    </row>
    <row r="21">
      <c r="A21" s="6" t="inlineStr">
        <is>
          <t>D. レイヤー</t>
        </is>
      </c>
      <c r="B21" s="9" t="inlineStr">
        <is>
          <t>「制作図」と「製作図」の同音異字を統一する</t>
        </is>
      </c>
      <c r="C21" s="9" t="inlineStr">
        <is>
          <t>本多木工所・西北・川井で、同一図面内に両方のレイヤーが混在している</t>
        </is>
      </c>
      <c r="D21" s="9" t="inlineStr">
        <is>
          <t>自社作図分をレイヤーで確実に選別できる</t>
        </is>
      </c>
      <c r="E21" s="34" t="inlineStr">
        <is>
          <t>必須</t>
        </is>
      </c>
    </row>
    <row r="22">
      <c r="A22" s="6" t="inlineStr"/>
      <c r="B22" s="9" t="inlineStr">
        <is>
          <t>Defpoints レイヤーに実体を描かない</t>
        </is>
      </c>
      <c r="C22" s="9" t="inlineStr">
        <is>
          <t>新栄合板では作図データの大半が Defpoints（本来は非表示・非印刷の特殊レイヤー）にある</t>
        </is>
      </c>
      <c r="D22" s="9" t="inlineStr">
        <is>
          <t>印刷・解析の双方で支障がなくなる</t>
        </is>
      </c>
      <c r="E22" s="34" t="inlineStr">
        <is>
          <t>必須</t>
        </is>
      </c>
    </row>
    <row r="23">
      <c r="A23" s="6" t="inlineStr"/>
      <c r="B23" s="9" t="inlineStr">
        <is>
          <t>自社作図と他社図面を接頭辞で判別できるようにする（INOUE_* / 背景_*）</t>
        </is>
      </c>
      <c r="C23" s="9" t="inlineStr">
        <is>
          <t>釧路製材棟はレイヤー90個。フィンランド語・エストニア語のレイヤーが外部参照で混在し、自社の供給範囲を判別できない</t>
        </is>
      </c>
      <c r="D23" s="9" t="inlineStr">
        <is>
          <t>他社機器を御見積に含めてしまう事故を防げる</t>
        </is>
      </c>
      <c r="E23" s="34" t="inlineStr">
        <is>
          <t>必須</t>
        </is>
      </c>
    </row>
    <row r="24">
      <c r="A24" s="6" t="inlineStr"/>
      <c r="B24" s="9" t="inlineStr">
        <is>
          <t>LEVEL001〜 の意味を定義するか、意味のある名称へ置き換える</t>
        </is>
      </c>
      <c r="C24" s="9" t="inlineStr">
        <is>
          <t>新栄合板は自社作図レイヤーが「製作図」1つのみで、他はすべて LEVEL001〜015</t>
        </is>
      </c>
      <c r="D24" s="9" t="inlineStr">
        <is>
          <t>自社/他社の区別ができるようになる</t>
        </is>
      </c>
      <c r="E24" s="35" t="inlineStr">
        <is>
          <t>推奨</t>
        </is>
      </c>
    </row>
    <row r="25">
      <c r="A25" s="6" t="inlineStr">
        <is>
          <t>E. 文字注記</t>
        </is>
      </c>
      <c r="B25" s="9" t="inlineStr">
        <is>
          <t>制御盤を必ず記載する</t>
        </is>
      </c>
      <c r="C25" s="9" t="inlineStr">
        <is>
          <t>釧路 製材棟・加工棟には制御盤の記載が一切ないが、御見積では計上されている</t>
        </is>
      </c>
      <c r="D25" s="9" t="inlineStr">
        <is>
          <t>制御盤を自動で計上できる</t>
        </is>
      </c>
      <c r="E25" s="34" t="inlineStr">
        <is>
          <t>必須</t>
        </is>
      </c>
    </row>
    <row r="26">
      <c r="A26" s="6" t="inlineStr"/>
      <c r="B26" s="9" t="inlineStr">
        <is>
          <t>モータ容量(kW)を必ず記載する</t>
        </is>
      </c>
      <c r="C26" s="9" t="inlineStr">
        <is>
          <t>西北プライウッド・釧路 製材棟・加工棟に記載がない</t>
        </is>
      </c>
      <c r="D26" s="9" t="inlineStr">
        <is>
          <t>制御盤の仕様まで自動で組める</t>
        </is>
      </c>
      <c r="E26" s="34" t="inlineStr">
        <is>
          <t>必須</t>
        </is>
      </c>
    </row>
    <row r="27">
      <c r="A27" s="6" t="inlineStr"/>
      <c r="B27" s="9" t="inlineStr">
        <is>
          <t>処理風量を必ず記載する</t>
        </is>
      </c>
      <c r="C27" s="9" t="inlineStr">
        <is>
          <t>西北プライウッドに記載がない</t>
        </is>
      </c>
      <c r="D27" s="9" t="inlineStr">
        <is>
          <t>機種選定の妥当性を自動で確認できる</t>
        </is>
      </c>
      <c r="E27" s="34" t="inlineStr">
        <is>
          <t>必須</t>
        </is>
      </c>
    </row>
    <row r="28">
      <c r="A28" s="6" t="inlineStr"/>
      <c r="B28" s="9" t="inlineStr">
        <is>
          <t>既設・支給品には「【既設】」を付ける</t>
        </is>
      </c>
      <c r="C28" s="9" t="inlineStr">
        <is>
          <t>川井林業のみ実施済み（既設オガヤード等）。他の5図面にはない</t>
        </is>
      </c>
      <c r="D28" s="9" t="inlineStr">
        <is>
          <t>見積対象外の機器を自動で除外できる</t>
        </is>
      </c>
      <c r="E28" s="34" t="inlineStr">
        <is>
          <t>必須</t>
        </is>
      </c>
    </row>
    <row r="29">
      <c r="A29" s="6" t="inlineStr"/>
      <c r="B29" s="9" t="inlineStr">
        <is>
          <t>主要機器の脇に仕様ブロックを置く（品名 / 型式 / 処理風量 / モータ容量 の順）</t>
        </is>
      </c>
      <c r="C29" s="9" t="inlineStr">
        <is>
          <t>記載の有無・順序が図面ごとにばらついている</t>
        </is>
      </c>
      <c r="D29" s="9" t="inlineStr">
        <is>
          <t>仕様欄を自動で組み立てられる</t>
        </is>
      </c>
      <c r="E29" s="35" t="inlineStr">
        <is>
          <t>推奨</t>
        </is>
      </c>
    </row>
    <row r="30">
      <c r="A30" s="6" t="inlineStr">
        <is>
          <t>F. ファイル・番号</t>
        </is>
      </c>
      <c r="B30" s="9" t="inlineStr">
        <is>
          <t>DWG保存時にDXFも書き出す（AutoCADなら DXFOUT、「AutoCAD 2018 DXF」形式）</t>
        </is>
      </c>
      <c r="C30" s="9" t="inlineStr">
        <is>
          <t>システムが読めるのはDXF形式のみ。DWGは別途変換が必要</t>
        </is>
      </c>
      <c r="D30" s="9" t="inlineStr">
        <is>
          <t>図面をそのまま取り込める</t>
        </is>
      </c>
      <c r="E30" s="34" t="inlineStr">
        <is>
          <t>必須</t>
        </is>
      </c>
    </row>
    <row r="31">
      <c r="A31" s="6" t="inlineStr"/>
      <c r="B31" s="9" t="inlineStr">
        <is>
          <t>工番の正はファイル名ではなく図面表題欄とする</t>
        </is>
      </c>
      <c r="C31" s="9" t="inlineStr">
        <is>
          <t>川井林業はファイル名 250786A に対し工番 240001A</t>
        </is>
      </c>
      <c r="D31" s="9" t="inlineStr">
        <is>
          <t>図面と案件の取り違えを防げる</t>
        </is>
      </c>
      <c r="E31" s="35" t="inlineStr">
        <is>
          <t>推奨</t>
        </is>
      </c>
    </row>
    <row r="32">
      <c r="A32" s="6" t="inlineStr"/>
      <c r="B32" s="9" t="inlineStr">
        <is>
          <t>図面番号・工番・御見積番号の対応ルールを定める</t>
        </is>
      </c>
      <c r="C32" s="9" t="inlineStr">
        <is>
          <t>川井林業は図面250786A／工番240001A／御見積2022-01-101B と3つとも異なる。釧路もシート名(26-01-01)と御見積No(2026-07-13)が不一致</t>
        </is>
      </c>
      <c r="D32" s="9" t="inlineStr">
        <is>
          <t>図面と御見積をシステムで自動的に紐付けられる</t>
        </is>
      </c>
      <c r="E32" s="35" t="inlineStr">
        <is>
          <t>推奨</t>
        </is>
      </c>
    </row>
    <row r="33">
      <c r="A33" s="6" t="inlineStr">
        <is>
          <t>G. 新製品</t>
        </is>
      </c>
      <c r="B33" s="9" t="inlineStr">
        <is>
          <t>新しい系列の製品を図面に描く際は、型式を事前にご連絡いただき、製品マスタへ登録する</t>
        </is>
      </c>
      <c r="C33" s="9" t="inlineStr">
        <is>
          <t>破砕機WL13・火の粉遮断弁ES系列が未登録のため、図面に描かれていたのに御見積から無言で欠落していた（今回の改修で対応済み）</t>
        </is>
      </c>
      <c r="D33" s="9" t="inlineStr">
        <is>
          <t>新製品でも初回から正しく拾える</t>
        </is>
      </c>
      <c r="E33" s="34" t="inlineStr">
        <is>
          <t>必須</t>
        </is>
      </c>
    </row>
    <row r="34">
      <c r="A34" s="6" t="inlineStr"/>
      <c r="B34" s="9" t="inlineStr">
        <is>
          <t>【システム側の対応】未登録の型式は「★要確認（マスタ未登録）」の仮情報の行として必ず見積に追加し、あわせてマスタ登録の依頼を表示する</t>
        </is>
      </c>
      <c r="C34" s="9" t="inlineStr">
        <is>
          <t>従来は未登録の型式が無言で消えており、欠落に気づけなかった</t>
        </is>
      </c>
      <c r="D34" s="9" t="inlineStr">
        <is>
          <t>欠落が起きなくなる。担当者は仮情報の行を見て、マスタ登録依頼・単価入力・不要なら削除のいずれかを判断できる</t>
        </is>
      </c>
      <c r="E34" s="36" t="inlineStr">
        <is>
          <t>対応済</t>
        </is>
      </c>
    </row>
    <row r="36">
      <c r="A36" s="26" t="inlineStr">
        <is>
          <t>※ A・B（ダクト関連）は、ダクトの数量だけでなく「御見積の大項目の分け方」にも直結するため、最優先でご検討いただきたい項目です。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2026-08-31T00:04:57Z</dcterms:created>
  <dcterms:modified xmlns:dcterms="http://purl.org/dc/terms/" xmlns:xsi="http://www.w3.org/2001/XMLSchema-instance" xsi:type="dcterms:W3CDTF">2026-08-31T00:04:57Z</dcterms:modified>
</cp:coreProperties>
</file>